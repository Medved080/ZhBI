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33eb685f6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" sheetId="1" r:id="Rb41ccdf482e64e7a"/>
    <x:sheet xmlns:r="http://schemas.openxmlformats.org/officeDocument/2006/relationships" name="Функции" sheetId="2" r:id="R4de720168d544820"/>
    <x:sheet xmlns:r="http://schemas.openxmlformats.org/officeDocument/2006/relationships" name="Стоимость" sheetId="3" r:id="R536e0cad67594669"/>
    <x:sheet xmlns:r="http://schemas.openxmlformats.org/officeDocument/2006/relationships" name="Безопасность" sheetId="4" r:id="R5aa94c990c2a4daa"/>
    <x:sheet xmlns:r="http://schemas.openxmlformats.org/officeDocument/2006/relationships" name="Источники" sheetId="5" r:id="R0f8f5e84276f4d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 [$₽-ru-RU]"/>
    <x:numFmt numFmtId="201" formatCode="#,##0"/>
    <x:numFmt numFmtId="202" formatCode="0%"/>
  </x:numFmts>
  <x:fonts count="11">
    <x:font>
      <x:sz val="11"/>
      <x:name val="Carlito"/>
    </x:font>
    <x:font>
      <x:b/>
      <x:sz val="20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7324D"/>
      <x:name val="Carlito"/>
    </x:font>
    <x:font>
      <x:sz val="9"/>
      <x:color rgb="FFB7791F"/>
      <x:name val="Carlito"/>
    </x:font>
    <x:font>
      <x:b/>
      <x:sz val="12"/>
      <x:color rgb="FFFFFFFF"/>
      <x:name val="Carlito"/>
    </x:font>
    <x:font>
      <x:sz val="11"/>
      <x:color rgb="FF17324D"/>
      <x:name val="Carlito"/>
    </x:font>
    <x:font>
      <x:i/>
      <x:sz val="9"/>
      <x:color rgb="FF667085"/>
      <x:name val="Carlito"/>
    </x:font>
    <x:font>
      <x:b/>
      <x:sz val="11"/>
      <x:color rgb="FF2F855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E6F9E"/>
      </x:patternFill>
    </x:fill>
    <x:fill>
      <x:patternFill patternType="solid">
        <x:fgColor rgb="FFFFF4D6"/>
      </x:patternFill>
    </x:fill>
    <x:fill>
      <x:patternFill patternType="solid">
        <x:fgColor rgb="FFF2F4F7"/>
      </x:patternFill>
    </x:fill>
    <x:fill>
      <x:patternFill patternType="solid">
        <x:fgColor rgb="FFE8F5EE"/>
      </x:patternFill>
    </x:fill>
  </x:fills>
  <x:borders count="18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2F855A"/>
      </x:left>
      <x:top style="thin">
        <x:color rgb="FF2F855A"/>
      </x:top>
    </x:border>
    <x:border>
      <x:top style="thin">
        <x:color rgb="FF2F855A"/>
      </x:top>
    </x:border>
    <x:border>
      <x:right style="thin">
        <x:color rgb="FF2F855A"/>
      </x:right>
      <x:top style="thin">
        <x:color rgb="FF2F855A"/>
      </x:top>
    </x:border>
    <x:border>
      <x:left style="thin">
        <x:color rgb="FF2F855A"/>
      </x:left>
    </x:border>
    <x:border>
      <x:right style="thin">
        <x:color rgb="FF2F855A"/>
      </x:right>
    </x:border>
    <x:border>
      <x:left style="thin">
        <x:color rgb="FF2F855A"/>
      </x:left>
      <x:bottom style="thin">
        <x:color rgb="FF2F855A"/>
      </x:bottom>
    </x:border>
    <x:border>
      <x:bottom style="thin">
        <x:color rgb="FF2F855A"/>
      </x:bottom>
    </x:border>
    <x:border>
      <x:right style="thin">
        <x:color rgb="FF2F855A"/>
      </x:right>
      <x:bottom style="thin">
        <x:color rgb="FF2F855A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200" fontId="4" fillId="5" borderId="3" xfId="0" applyNumberFormat="1" applyFont="1" applyFill="1" applyBorder="1" applyAlignment="1">
      <x:alignment vertical="top" wrapText="1"/>
    </x:xf>
    <x:xf numFmtId="201" fontId="4" fillId="5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9" xfId="0" applyNumberFormat="1" applyFont="1" applyFill="1" applyBorder="1"/>
    <x:xf numFmtId="0" fontId="8" fillId="3" borderId="4" xfId="0" applyNumberFormat="1" applyFont="1" applyFill="1" applyBorder="1" applyAlignment="1">
      <x:alignment wrapText="1"/>
    </x:xf>
    <x:xf numFmtId="0" fontId="8" fillId="3" borderId="5" xfId="0" applyNumberFormat="1" applyFont="1" applyFill="1" applyBorder="1" applyAlignment="1">
      <x:alignment wrapText="1"/>
    </x:xf>
    <x:xf numFmtId="0" fontId="8" fillId="3" borderId="6" xfId="0" applyNumberFormat="1" applyFont="1" applyFill="1" applyBorder="1" applyAlignment="1">
      <x:alignment wrapText="1"/>
    </x:xf>
    <x:xf numFmtId="0" fontId="8" fillId="3" borderId="7" xfId="0" applyNumberFormat="1" applyFont="1" applyFill="1" applyBorder="1" applyAlignment="1">
      <x:alignment wrapText="1"/>
    </x:xf>
    <x:xf numFmtId="0" fontId="8" fillId="3" borderId="8" xfId="0" applyNumberFormat="1" applyFont="1" applyFill="1" applyBorder="1" applyAlignment="1">
      <x:alignment wrapText="1"/>
    </x:xf>
    <x:xf numFmtId="0" fontId="8" fillId="3" borderId="9" xfId="0" applyNumberFormat="1" applyFont="1" applyFill="1" applyBorder="1" applyAlignment="1">
      <x:alignment wrapText="1"/>
    </x:xf>
    <x:xf numFmtId="0" fontId="8" fillId="3" borderId="4" xfId="0" applyNumberFormat="1" applyFont="1" applyFill="1" applyBorder="1" applyAlignment="1">
      <x:alignment vertical="center" wrapText="1"/>
    </x:xf>
    <x:xf numFmtId="0" fontId="8" fillId="3" borderId="5" xfId="0" applyNumberFormat="1" applyFont="1" applyFill="1" applyBorder="1" applyAlignment="1">
      <x:alignment vertical="center" wrapText="1"/>
    </x:xf>
    <x:xf numFmtId="0" fontId="8" fillId="3" borderId="6" xfId="0" applyNumberFormat="1" applyFont="1" applyFill="1" applyBorder="1" applyAlignment="1">
      <x:alignment vertical="center" wrapText="1"/>
    </x:xf>
    <x:xf numFmtId="0" fontId="8" fillId="3" borderId="7" xfId="0" applyNumberFormat="1" applyFont="1" applyFill="1" applyBorder="1" applyAlignment="1">
      <x:alignment vertical="center" wrapText="1"/>
    </x:xf>
    <x:xf numFmtId="0" fontId="8" fillId="3" borderId="8" xfId="0" applyNumberFormat="1" applyFont="1" applyFill="1" applyBorder="1" applyAlignment="1">
      <x:alignment vertical="center" wrapText="1"/>
    </x:xf>
    <x:xf numFmtId="0" fontId="8" fillId="3" borderId="9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0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0" xfId="0" applyNumberFormat="1" applyFont="1" applyFill="1" applyBorder="1" applyAlignment="1">
      <x:alignment wrapText="1"/>
    </x:xf>
    <x:xf numFmtId="0" fontId="10" fillId="7" borderId="11" xfId="0" applyNumberFormat="1" applyFont="1" applyFill="1" applyBorder="1" applyAlignment="1">
      <x:alignment wrapText="1"/>
    </x:xf>
    <x:xf numFmtId="0" fontId="10" fillId="7" borderId="12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0" xfId="0" applyNumberFormat="1" applyFont="1" applyFill="1" applyBorder="1" applyAlignment="1">
      <x:alignment vertical="center" wrapText="1"/>
    </x:xf>
    <x:xf numFmtId="0" fontId="10" fillId="7" borderId="11" xfId="0" applyNumberFormat="1" applyFont="1" applyFill="1" applyBorder="1" applyAlignment="1">
      <x:alignment vertical="center" wrapText="1"/>
    </x:xf>
    <x:xf numFmtId="0" fontId="10" fillId="7" borderId="12" xfId="0" applyNumberFormat="1" applyFont="1" applyFill="1" applyBorder="1" applyAlignment="1">
      <x:alignment vertical="center" wrapText="1"/>
    </x:xf>
    <x:xf numFmtId="0" fontId="10" fillId="7" borderId="13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14" xfId="0" applyNumberFormat="1" applyFont="1" applyFill="1" applyBorder="1" applyAlignment="1">
      <x:alignment vertical="center" wrapText="1"/>
    </x:xf>
    <x:xf numFmtId="0" fontId="10" fillId="7" borderId="15" xfId="0" applyNumberFormat="1" applyFont="1" applyFill="1" applyBorder="1" applyAlignment="1">
      <x:alignment vertical="center" wrapText="1"/>
    </x:xf>
    <x:xf numFmtId="0" fontId="10" fillId="7" borderId="16" xfId="0" applyNumberFormat="1" applyFont="1" applyFill="1" applyBorder="1" applyAlignment="1">
      <x:alignment vertical="center" wrapText="1"/>
    </x:xf>
    <x:xf numFmtId="0" fontId="10" fillId="7" borderId="1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B83232"/>
      </x:font>
      <x:fill>
        <x:patternFill patternType="solid">
          <x:bgColor rgb="FFFDECEC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2F855A"/>
      </x:font>
      <x:fill>
        <x:patternFill patternType="solid">
          <x:bgColor rgb="FFE8F5EE"/>
        </x:patternFill>
      </x:fill>
    </x:dxf>
    <x:dxf>
      <x:font>
        <x:b/>
        <x:color rgb="FF2E6F9E"/>
      </x:font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5fdbce60b430d" /><Relationship Type="http://schemas.openxmlformats.org/officeDocument/2006/relationships/theme" Target="/xl/theme/theme1.xml" Id="Rf0fb343ef5ed48d2" /><Relationship Type="http://schemas.openxmlformats.org/officeDocument/2006/relationships/sharedStrings" Target="/xl/sharedStrings.xml" Id="R8cbb64751116407c" /><Relationship Type="http://schemas.openxmlformats.org/officeDocument/2006/relationships/worksheet" Target="/xl/worksheets/sheet1.xml" Id="Rb41ccdf482e64e7a" /><Relationship Type="http://schemas.openxmlformats.org/officeDocument/2006/relationships/worksheet" Target="/xl/worksheets/sheet2.xml" Id="R4de720168d544820" /><Relationship Type="http://schemas.openxmlformats.org/officeDocument/2006/relationships/worksheet" Target="/xl/worksheets/sheet3.xml" Id="R536e0cad67594669" /><Relationship Type="http://schemas.openxmlformats.org/officeDocument/2006/relationships/worksheet" Target="/xl/worksheets/sheet4.xml" Id="R5aa94c990c2a4daa" /><Relationship Type="http://schemas.openxmlformats.org/officeDocument/2006/relationships/worksheet" Target="/xl/worksheets/sheet5.xml" Id="R0f8f5e84276f4d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23b885a19448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Годовая стоимость выбранного сценария, ₽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Стоимость в год</c:v>
          </c:tx>
          <c:cat>
            <c:strRef>
              <c:f>'Стоимость'!$D$5:$D$7</c:f>
              <c:strCache>
                <c:ptCount val="0"/>
              </c:strCache>
            </c:strRef>
          </c:cat>
          <c:val>
            <c:numRef>
              <c:f>'Стоимость'!$E$5:$E$7</c:f>
              <c:numCache>
                <c:formatCode>#,##0 [$₽-ru-RU]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₽ в год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23b885a19448a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bba176f1e674c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1" hidden="0" customWidth="1"/>
    <x:col min="3" max="3" width="30" hidden="0" customWidth="1"/>
    <x:col min="4" max="4" width="30" hidden="0" customWidth="1"/>
    <x:col min="5" max="5" width="24" hidden="0" customWidth="1"/>
    <x:col min="6" max="6" width="27" hidden="0" customWidth="1"/>
    <x:col min="7" max="7" width="34" hidden="0" customWidth="1"/>
    <x:col min="8" max="8" width="35" hidden="0" customWidth="1"/>
  </x:cols>
  <x:sheetData>
    <x:row r="1" ht="34" customHeight="1">
      <x:c r="A1" s="4" t="str">
        <x:v>Битрикс24, Искра и Daisy Teams</x:v>
      </x:c>
      <x:c r="B1" s="4"/>
      <x:c r="C1" s="4"/>
      <x:c r="D1" s="4"/>
      <x:c r="E1" s="4"/>
      <x:c r="F1" s="4"/>
      <x:c r="G1" s="4"/>
      <x:c r="H1" s="4"/>
    </x:row>
    <x:row r="2" ht="32" customHeight="1">
      <x:c r="A2" s="8" t="str">
        <x:v>Управленческое сравнение пересечения функциональности, стоимости и защиты корпоративной информации. Актуально на 13.08.2026.</x:v>
      </x:c>
      <x:c r="B2" s="8"/>
      <x:c r="C2" s="8"/>
      <x:c r="D2" s="8"/>
      <x:c r="E2" s="8"/>
      <x:c r="F2" s="8"/>
      <x:c r="G2" s="8"/>
      <x:c r="H2" s="8"/>
    </x:row>
    <x:row r="4" ht="28" customHeight="1">
      <x:c r="A4" s="37" t="str">
        <x:v>Ключевой вывод</x:v>
      </x:c>
      <x:c r="B4" s="37"/>
      <x:c r="D4" s="57" t="str">
        <x:v>Расчётное пересечение с Битрикс24</x:v>
      </x:c>
      <x:c r="E4" s="57"/>
    </x:row>
    <x:row r="5" ht="27" customHeight="1">
      <x:c r="A5" s="51" t="str">
        <x:v>Битрикс24 уже закрывает CRM, задачи, коммуникации, встречи и базовые AI-функции. Искру стоит рассматривать для межсистемных агентов, общей базы знаний и локального AI-контура. Daisy — для контролируемого доступа к ChatGPT, Claude, Gemini, видео и музыке. Одновременная лицензия Искры и Daisy для всех сотрудников избыточна.</x:v>
      </x:c>
      <x:c r="B5" s="52"/>
      <x:c r="D5" s="20" t="str">
        <x:v>Искра</x:v>
      </x:c>
      <x:c r="E5" s="58" t="n">
        <x:f>(COUNTIF('Функции'!$F$5:$F$29,"Высокое")+0.5*COUNTIF('Функции'!$F$5:$F$29,"Среднее"))/COUNTA('Функции'!$B$5:$B$29)</x:f>
        <x:v>0.5</x:v>
      </x:c>
    </x:row>
    <x:row r="6" ht="27" customHeight="1">
      <x:c r="A6" s="53"/>
      <x:c r="B6" s="54"/>
      <x:c r="D6" s="21" t="str">
        <x:v>Daisy Teams</x:v>
      </x:c>
      <x:c r="E6" s="59" t="n">
        <x:f>(COUNTIF('Функции'!$G$5:$G$29,"Высокое")+0.5*COUNTIF('Функции'!$G$5:$G$29,"Среднее"))/COUNTA('Функции'!$B$5:$B$29)</x:f>
        <x:v>0.26</x:v>
      </x:c>
    </x:row>
    <x:row r="7" ht="27" customHeight="1">
      <x:c r="A7" s="53"/>
      <x:c r="B7" s="54"/>
    </x:row>
    <x:row r="8" ht="27" customHeight="1">
      <x:c r="A8" s="55"/>
      <x:c r="B8" s="56"/>
      <x:c r="D8" s="62" t="str">
        <x:v>Метод: высокое пересечение = 1, среднее = 0,5, низкое/нет = 0. Показатель ориентировочный и основан на матрице функций.</x:v>
      </x:c>
      <x:c r="E8" s="62"/>
    </x:row>
    <x:row r="11" ht="44" customHeight="1">
      <x:c r="A11" s="14" t="str">
        <x:v>Решение</x:v>
      </x:c>
      <x:c r="B11" s="14" t="str">
        <x:v>Главная ценность</x:v>
      </x:c>
      <x:c r="C11" s="14" t="str">
        <x:v>Что дублирует</x:v>
      </x:c>
      <x:c r="D11" s="14" t="str">
        <x:v>Что добавляет</x:v>
      </x:c>
      <x:c r="E11" s="14" t="str">
        <x:v>Модель цены</x:v>
      </x:c>
      <x:c r="F11" s="14" t="str">
        <x:v>Ориентир</x:v>
      </x:c>
      <x:c r="G11" s="14" t="str">
        <x:v>Безопасность</x:v>
      </x:c>
      <x:c r="H11" s="14" t="str">
        <x:v>Рекомендация</x:v>
      </x:c>
    </x:row>
    <x:row r="12" ht="74" customHeight="1">
      <x:c r="A12" s="20" t="str">
        <x:v>Битрикс24 + BitrixGPT</x:v>
      </x:c>
      <x:c r="B12" s="20" t="str">
        <x:v>AI внутри CRM, задач, чатов и встреч</x:v>
      </x:c>
      <x:c r="C12" s="20" t="str">
        <x:v>Базовый AI-чат, тексты, база знаний</x:v>
      </x:c>
      <x:c r="D12" s="20" t="str">
        <x:v>Нативные действия в портале</x:v>
      </x:c>
      <x:c r="E12" s="20" t="str">
        <x:v>Годовая подписка к коробке</x:v>
      </x:c>
      <x:c r="F12" s="20" t="str">
        <x:v>60–450 тыс. ₽/год стандартно, без НДС</x:v>
      </x:c>
      <x:c r="G12" s="20" t="str">
        <x:v>Зрелая защита портала; AI-данные требуют отдельной политики</x:v>
      </x:c>
      <x:c r="H12" s="63" t="str">
        <x:v>Использовать первым, так как портал уже внедрён</x:v>
      </x:c>
    </x:row>
    <x:row r="13" ht="74" customHeight="1">
      <x:c r="A13" s="21" t="str">
        <x:v>Искра</x:v>
      </x:c>
      <x:c r="B13" s="21" t="str">
        <x:v>База знаний, агенты, интеграции, on-premise</x:v>
      </x:c>
      <x:c r="C13" s="21" t="str">
        <x:v>AI-чат, документы, поиск, встречи</x:v>
      </x:c>
      <x:c r="D13" s="21" t="str">
        <x:v>1С/CRM/MCP, расписание, локальный AI-контур</x:v>
      </x:c>
      <x:c r="E13" s="21" t="str">
        <x:v>Общий пул токенов; on-premise отдельно</x:v>
      </x:c>
      <x:c r="F13" s="21" t="str">
        <x:v>0–990 тыс. ₽/мес.; on-premise от 2,4 млн ₽/год</x:v>
      </x:c>
      <x:c r="G13" s="21" t="str">
        <x:v>Сильные заявленные AI-контроли; нужен B2B-договор и проверка</x:v>
      </x:c>
      <x:c r="H13" s="64" t="str">
        <x:v>Пилотировать только под межсистемные сценарии</x:v>
      </x:c>
    </x:row>
    <x:row r="14" ht="74" customHeight="1">
      <x:c r="A14" s="21" t="str">
        <x:v>Daisy Teams</x:v>
      </x:c>
      <x:c r="B14" s="21" t="str">
        <x:v>Единый доступ к мировым LLM и мультимедиа</x:v>
      </x:c>
      <x:c r="C14" s="21" t="str">
        <x:v>AI-чат, тексты, документы, исследования</x:v>
      </x:c>
      <x:c r="D14" s="21" t="str">
        <x:v>Claude/ChatGPT/Gemini, видео и музыка</x:v>
      </x:c>
      <x:c r="E14" s="21" t="str">
        <x:v>За каждого сотрудника</x:v>
      </x:c>
      <x:c r="F14" s="21" t="str">
        <x:v>3 000 ₽/польз./мес.</x:v>
      </x:c>
      <x:c r="G14" s="21" t="str">
        <x:v>Базовое соглашение запрещает конфиденциальные данные; нужен отдельный Teams-договор</x:v>
      </x:c>
      <x:c r="H14" s="64" t="str">
        <x:v>Пилот 5–10 пользователей с неконфиденциальными данными</x:v>
      </x:c>
    </x:row>
    <x:row r="17" ht="28" customHeight="1">
      <x:c r="A17" s="66" t="str">
        <x:v>Рекомендуемая схема</x:v>
      </x:c>
      <x:c r="B17" s="66"/>
      <x:c r="C17" s="66"/>
      <x:c r="D17" s="66"/>
      <x:c r="E17" s="66"/>
      <x:c r="F17" s="66"/>
      <x:c r="G17" s="66"/>
      <x:c r="H17" s="66"/>
    </x:row>
    <x:row r="18" ht="30" customHeight="1">
      <x:c r="A18" s="86" t="str">
        <x:v>1) Оставить BitrixGPT для CRM, задач, встреч и внутренней коммуникации.  2) Если нужен единый AI над Битрикс24 + 1С + файлами — пилот Искры.  3) Если сотрудникам критично нужны Claude, ChatGPT, Gemini, видео и музыка — ограниченный пилот Daisy.  4) Не выдавать двум внешним сервисам массовые лицензии одновременно до измерения реального использования и ROI.</x:v>
      </x:c>
      <x:c r="B18" s="87"/>
      <x:c r="C18" s="87"/>
      <x:c r="D18" s="87"/>
      <x:c r="E18" s="87"/>
      <x:c r="F18" s="87"/>
      <x:c r="G18" s="87"/>
      <x:c r="H18" s="88"/>
    </x:row>
    <x:row r="19" ht="30" customHeight="1">
      <x:c r="A19" s="89"/>
      <x:c r="B19" s="90"/>
      <x:c r="C19" s="90"/>
      <x:c r="D19" s="90"/>
      <x:c r="E19" s="90"/>
      <x:c r="F19" s="90"/>
      <x:c r="G19" s="90"/>
      <x:c r="H19" s="91"/>
    </x:row>
    <x:row r="20" ht="30" customHeight="1">
      <x:c r="A20" s="92"/>
      <x:c r="B20" s="93"/>
      <x:c r="C20" s="93"/>
      <x:c r="D20" s="93"/>
      <x:c r="E20" s="93"/>
      <x:c r="F20" s="93"/>
      <x:c r="G20" s="93"/>
      <x:c r="H20" s="94"/>
    </x:row>
  </x:sheetData>
  <x:mergeCells>
    <x:mergeCell ref="A1:H1"/>
    <x:mergeCell ref="A2:H2"/>
    <x:mergeCell ref="A4:B4"/>
    <x:mergeCell ref="A5:B8"/>
    <x:mergeCell ref="D4:E4"/>
    <x:mergeCell ref="D8:E8"/>
    <x:mergeCell ref="A17:H17"/>
    <x:mergeCell ref="A18:H20"/>
  </x:mergeCells>
  <x:conditionalFormatting sqref="E5:E6">
    <x:cfRule type="dataBar" priority="1">
      <x:dataBar>
        <x:cfvo type="min"/>
        <x:cfvo type="max"/>
        <x:color rgb="FF2E6F9E"/>
      </x:dataBar>
      <x:extLst>
        <x:ext xmlns:x14="http://schemas.microsoft.com/office/spreadsheetml/2009/9/main" uri="{B025F937-C7B1-47D3-B67F-A62EFF666E3E}">
          <x14:id>{2C8266AE-B943-4F3F-057B-E1E89EF6D8AE}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C8266AE-B943-4F3F-057B-E1E89EF6D8AE}">
            <x14:dataBar gradient="1">
              <x14:cfvo type="min"/>
              <x14:cfvo type="max"/>
              <x14:fillColor rgb="FF2E6F9E"/>
            </x14:dataBar>
          </x14:cfRule>
          <xm:sqref>E5:E6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19" hidden="0" customWidth="1"/>
    <x:col min="7" max="7" width="19" hidden="0" customWidth="1"/>
    <x:col min="8" max="8" width="52" hidden="0" customWidth="1"/>
  </x:cols>
  <x:sheetData>
    <x:row r="1" ht="34" customHeight="1">
      <x:c r="A1" s="4" t="str">
        <x:v>Сравнение функциональности</x:v>
      </x:c>
      <x:c r="B1" s="4"/>
      <x:c r="C1" s="4"/>
      <x:c r="D1" s="4"/>
      <x:c r="E1" s="4"/>
      <x:c r="F1" s="4"/>
      <x:c r="G1" s="4"/>
      <x:c r="H1" s="4"/>
    </x:row>
    <x:row r="2" ht="36" customHeight="1">
      <x:c r="A2" s="8" t="str">
        <x:v>Степень пересечения оценивается относительно уже внедрённого Битрикс24. Высокое = почти полное дублирование; низкое/нет = новая ценность.</x:v>
      </x:c>
      <x:c r="B2" s="8"/>
      <x:c r="C2" s="8"/>
      <x:c r="D2" s="8"/>
      <x:c r="E2" s="8"/>
      <x:c r="F2" s="8"/>
      <x:c r="G2" s="8"/>
      <x:c r="H2" s="8"/>
    </x:row>
    <x:row r="4" ht="44" customHeight="1">
      <x:c r="A4" s="14" t="str">
        <x:v>Категория</x:v>
      </x:c>
      <x:c r="B4" s="14" t="str">
        <x:v>Функция</x:v>
      </x:c>
      <x:c r="C4" s="14" t="str">
        <x:v>Битрикс24 + BitrixGPT</x:v>
      </x:c>
      <x:c r="D4" s="14" t="str">
        <x:v>Искра</x:v>
      </x:c>
      <x:c r="E4" s="14" t="str">
        <x:v>Daisy Teams</x:v>
      </x:c>
      <x:c r="F4" s="14" t="str">
        <x:v>Пересечение Искры с Битрикс24</x:v>
      </x:c>
      <x:c r="G4" s="14" t="str">
        <x:v>Пересечение Daisy с Битрикс24</x:v>
      </x:c>
      <x:c r="H4" s="14" t="str">
        <x:v>Комментарий</x:v>
      </x:c>
    </x:row>
    <x:row r="5" ht="42" customHeight="1">
      <x:c r="A5" s="22" t="str">
        <x:v>AI-инструменты</x:v>
      </x:c>
      <x:c r="B5" s="20" t="str">
        <x:v>Универсальный AI-чат</x:v>
      </x:c>
      <x:c r="C5" s="20" t="str">
        <x:v>Да</x:v>
      </x:c>
      <x:c r="D5" s="20" t="str">
        <x:v>Да</x:v>
      </x:c>
      <x:c r="E5" s="20" t="str">
        <x:v>Да</x:v>
      </x:c>
      <x:c r="F5" s="20" t="str">
        <x:v>Высокое</x:v>
      </x:c>
      <x:c r="G5" s="20" t="str">
        <x:v>Высокое</x:v>
      </x:c>
      <x:c r="H5" s="20" t="str">
        <x:v>Все три решения дают диалог с AI; в Битрикс24 он встроен в рабочий портал.</x:v>
      </x:c>
    </x:row>
    <x:row r="6" ht="42" customHeight="1">
      <x:c r="A6" s="23" t="str">
        <x:v>AI-инструменты</x:v>
      </x:c>
      <x:c r="B6" s="21" t="str">
        <x:v>Генерация и редактирование текстов</x:v>
      </x:c>
      <x:c r="C6" s="21" t="str">
        <x:v>Да</x:v>
      </x:c>
      <x:c r="D6" s="21" t="str">
        <x:v>Да</x:v>
      </x:c>
      <x:c r="E6" s="21" t="str">
        <x:v>Да</x:v>
      </x:c>
      <x:c r="F6" s="21" t="str">
        <x:v>Высокое</x:v>
      </x:c>
      <x:c r="G6" s="21" t="str">
        <x:v>Высокое</x:v>
      </x:c>
      <x:c r="H6" s="21" t="str">
        <x:v>Письма, резюме, перевод, изменение тона и подготовка черновиков.</x:v>
      </x:c>
    </x:row>
    <x:row r="7" ht="42" customHeight="1">
      <x:c r="A7" s="23" t="str">
        <x:v>AI-инструменты</x:v>
      </x:c>
      <x:c r="B7" s="21" t="str">
        <x:v>Выбор нескольких LLM</x:v>
      </x:c>
      <x:c r="C7" s="21" t="str">
        <x:v>Частично</x:v>
      </x:c>
      <x:c r="D7" s="21" t="str">
        <x:v>Да</x:v>
      </x:c>
      <x:c r="E7" s="21" t="str">
        <x:v>Да, ключевая функция</x:v>
      </x:c>
      <x:c r="F7" s="21" t="str">
        <x:v>Среднее</x:v>
      </x:c>
      <x:c r="G7" s="21" t="str">
        <x:v>Низкое</x:v>
      </x:c>
      <x:c r="H7" s="21" t="str">
        <x:v>Daisy выделяется доступом к ChatGPT, Claude, Gemini, Grok и мультимедийным моделям.</x:v>
      </x:c>
    </x:row>
    <x:row r="8" ht="42" customHeight="1">
      <x:c r="A8" s="23" t="str">
        <x:v>Документы</x:v>
      </x:c>
      <x:c r="B8" s="21" t="str">
        <x:v>Анализ документов и файлов</x:v>
      </x:c>
      <x:c r="C8" s="21" t="str">
        <x:v>Частично</x:v>
      </x:c>
      <x:c r="D8" s="21" t="str">
        <x:v>Да</x:v>
      </x:c>
      <x:c r="E8" s="21" t="str">
        <x:v>Да</x:v>
      </x:c>
      <x:c r="F8" s="21" t="str">
        <x:v>Среднее</x:v>
      </x:c>
      <x:c r="G8" s="21" t="str">
        <x:v>Среднее</x:v>
      </x:c>
      <x:c r="H8" s="21" t="str">
        <x:v>В Битрикс24 AI работает прежде всего с объектами портала; внешние файлы сильнее раскрыты у Искры и Daisy.</x:v>
      </x:c>
    </x:row>
    <x:row r="9" ht="42" customHeight="1">
      <x:c r="A9" s="23" t="str">
        <x:v>Документы</x:v>
      </x:c>
      <x:c r="B9" s="21" t="str">
        <x:v>Сравнение версий документов</x:v>
      </x:c>
      <x:c r="C9" s="21" t="str">
        <x:v>Не основной сценарий</x:v>
      </x:c>
      <x:c r="D9" s="21" t="str">
        <x:v>Да</x:v>
      </x:c>
      <x:c r="E9" s="21" t="str">
        <x:v>Да</x:v>
      </x:c>
      <x:c r="F9" s="21" t="str">
        <x:v>Низкое</x:v>
      </x:c>
      <x:c r="G9" s="21" t="str">
        <x:v>Низкое</x:v>
      </x:c>
      <x:c r="H9" s="21" t="str">
        <x:v>Дополнительная ценность обоих внешних сервисов.</x:v>
      </x:c>
    </x:row>
    <x:row r="10" ht="42" customHeight="1">
      <x:c r="A10" s="23" t="str">
        <x:v>Знания</x:v>
      </x:c>
      <x:c r="B10" s="21" t="str">
        <x:v>Корпоративная база знаний с AI-поиском</x:v>
      </x:c>
      <x:c r="C10" s="21" t="str">
        <x:v>Да</x:v>
      </x:c>
      <x:c r="D10" s="21" t="str">
        <x:v>Да, центральная функция</x:v>
      </x:c>
      <x:c r="E10" s="21" t="str">
        <x:v>RAG заявлен</x:v>
      </x:c>
      <x:c r="F10" s="21" t="str">
        <x:v>Высокое</x:v>
      </x:c>
      <x:c r="G10" s="21" t="str">
        <x:v>Среднее</x:v>
      </x:c>
      <x:c r="H10" s="21" t="str">
        <x:v>Для Daisy готовность разграниченной базы знаний требует подтверждения.</x:v>
      </x:c>
    </x:row>
    <x:row r="11" ht="42" customHeight="1">
      <x:c r="A11" s="23" t="str">
        <x:v>Знания</x:v>
      </x:c>
      <x:c r="B11" s="21" t="str">
        <x:v>Ответы со ссылками на корпоративный источник</x:v>
      </x:c>
      <x:c r="C11" s="21" t="str">
        <x:v>Да</x:v>
      </x:c>
      <x:c r="D11" s="21" t="str">
        <x:v>Да</x:v>
      </x:c>
      <x:c r="E11" s="21" t="str">
        <x:v>Не подтверждено</x:v>
      </x:c>
      <x:c r="F11" s="21" t="str">
        <x:v>Высокое</x:v>
      </x:c>
      <x:c r="G11" s="21" t="str">
        <x:v>Низкое</x:v>
      </x:c>
      <x:c r="H11" s="21" t="str">
        <x:v>У Искры это основной сценарий; у Daisy в deck описан RAG-движок, но не пользовательский сценарий.</x:v>
      </x:c>
    </x:row>
    <x:row r="12" ht="42" customHeight="1">
      <x:c r="A12" s="23" t="str">
        <x:v>Исследования</x:v>
      </x:c>
      <x:c r="B12" s="21" t="str">
        <x:v>Веб-поиск с источниками</x:v>
      </x:c>
      <x:c r="C12" s="21" t="str">
        <x:v>Ограниченно</x:v>
      </x:c>
      <x:c r="D12" s="21" t="str">
        <x:v>Да</x:v>
      </x:c>
      <x:c r="E12" s="21" t="str">
        <x:v>Да</x:v>
      </x:c>
      <x:c r="F12" s="21" t="str">
        <x:v>Среднее</x:v>
      </x:c>
      <x:c r="G12" s="21" t="str">
        <x:v>Среднее</x:v>
      </x:c>
      <x:c r="H12" s="21" t="str">
        <x:v>Искра и Daisy ориентированы на внешние исследования сильнее BitrixGPT.</x:v>
      </x:c>
    </x:row>
    <x:row r="13" ht="42" customHeight="1">
      <x:c r="A13" s="23" t="str">
        <x:v>Исследования</x:v>
      </x:c>
      <x:c r="B13" s="21" t="str">
        <x:v>Deep Research</x:v>
      </x:c>
      <x:c r="C13" s="21" t="str">
        <x:v>Не основной сценарий</x:v>
      </x:c>
      <x:c r="D13" s="21" t="str">
        <x:v>Да</x:v>
      </x:c>
      <x:c r="E13" s="21" t="str">
        <x:v>Да</x:v>
      </x:c>
      <x:c r="F13" s="21" t="str">
        <x:v>Низкое</x:v>
      </x:c>
      <x:c r="G13" s="21" t="str">
        <x:v>Низкое</x:v>
      </x:c>
      <x:c r="H13" s="21" t="str">
        <x:v>Отдельная новая ценность при подготовке исследований и обзоров.</x:v>
      </x:c>
    </x:row>
    <x:row r="14" ht="42" customHeight="1">
      <x:c r="A14" s="23" t="str">
        <x:v>Данные</x:v>
      </x:c>
      <x:c r="B14" s="21" t="str">
        <x:v>Анализ Excel/CSV</x:v>
      </x:c>
      <x:c r="C14" s="21" t="str">
        <x:v>BI и данные портала</x:v>
      </x:c>
      <x:c r="D14" s="21" t="str">
        <x:v>Да</x:v>
      </x:c>
      <x:c r="E14" s="21" t="str">
        <x:v>Да</x:v>
      </x:c>
      <x:c r="F14" s="21" t="str">
        <x:v>Среднее</x:v>
      </x:c>
      <x:c r="G14" s="21" t="str">
        <x:v>Среднее</x:v>
      </x:c>
      <x:c r="H14" s="21" t="str">
        <x:v>Искра заявляет аномалии, воронки и когорты; Daisy — анализ файлов и код.</x:v>
      </x:c>
    </x:row>
    <x:row r="15" ht="42" customHeight="1">
      <x:c r="A15" s="23" t="str">
        <x:v>Данные</x:v>
      </x:c>
      <x:c r="B15" s="21" t="str">
        <x:v>Запуск кода в изолированной среде</x:v>
      </x:c>
      <x:c r="C15" s="21" t="str">
        <x:v>Нет</x:v>
      </x:c>
      <x:c r="D15" s="21" t="str">
        <x:v>Да</x:v>
      </x:c>
      <x:c r="E15" s="21" t="str">
        <x:v>Не подтверждено</x:v>
      </x:c>
      <x:c r="F15" s="21" t="str">
        <x:v>Нет</x:v>
      </x:c>
      <x:c r="G15" s="21" t="str">
        <x:v>Нет</x:v>
      </x:c>
      <x:c r="H15" s="21" t="str">
        <x:v>У Daisy подтверждено написание кода, но не выполнение в sandbox.</x:v>
      </x:c>
    </x:row>
    <x:row r="16" ht="42" customHeight="1">
      <x:c r="A16" s="23" t="str">
        <x:v>Контент</x:v>
      </x:c>
      <x:c r="B16" s="21" t="str">
        <x:v>Генерация изображений</x:v>
      </x:c>
      <x:c r="C16" s="21" t="str">
        <x:v>Да</x:v>
      </x:c>
      <x:c r="D16" s="21" t="str">
        <x:v>Да</x:v>
      </x:c>
      <x:c r="E16" s="21" t="str">
        <x:v>Да</x:v>
      </x:c>
      <x:c r="F16" s="21" t="str">
        <x:v>Высокое</x:v>
      </x:c>
      <x:c r="G16" s="21" t="str">
        <x:v>Высокое</x:v>
      </x:c>
      <x:c r="H16" s="21" t="str">
        <x:v>Daisy предлагает больше специализированных моделей и операций с изображениями.</x:v>
      </x:c>
    </x:row>
    <x:row r="17" ht="42" customHeight="1">
      <x:c r="A17" s="23" t="str">
        <x:v>Контент</x:v>
      </x:c>
      <x:c r="B17" s="21" t="str">
        <x:v>Генерация видео и музыки</x:v>
      </x:c>
      <x:c r="C17" s="21" t="str">
        <x:v>Нет</x:v>
      </x:c>
      <x:c r="D17" s="21" t="str">
        <x:v>Частично</x:v>
      </x:c>
      <x:c r="E17" s="21" t="str">
        <x:v>Да</x:v>
      </x:c>
      <x:c r="F17" s="21" t="str">
        <x:v>Низкое</x:v>
      </x:c>
      <x:c r="G17" s="21" t="str">
        <x:v>Нет</x:v>
      </x:c>
      <x:c r="H17" s="21" t="str">
        <x:v>Сильная отличительная функция Daisy: Runway, Veo, Suno.</x:v>
      </x:c>
    </x:row>
    <x:row r="18" ht="42" customHeight="1">
      <x:c r="A18" s="23" t="str">
        <x:v>CRM</x:v>
      </x:c>
      <x:c r="B18" s="21" t="str">
        <x:v>CRM, лиды и сделки</x:v>
      </x:c>
      <x:c r="C18" s="21" t="str">
        <x:v>Да</x:v>
      </x:c>
      <x:c r="D18" s="21" t="str">
        <x:v>Нет, интеграция</x:v>
      </x:c>
      <x:c r="E18" s="21" t="str">
        <x:v>Нет</x:v>
      </x:c>
      <x:c r="F18" s="21" t="str">
        <x:v>Нет</x:v>
      </x:c>
      <x:c r="G18" s="21" t="str">
        <x:v>Нет</x:v>
      </x:c>
      <x:c r="H18" s="21" t="str">
        <x:v>Битрикс24 остаётся системой учёта; внешние сервисы её не заменяют.</x:v>
      </x:c>
    </x:row>
    <x:row r="19" ht="42" customHeight="1">
      <x:c r="A19" s="23" t="str">
        <x:v>CRM</x:v>
      </x:c>
      <x:c r="B19" s="21" t="str">
        <x:v>Расшифровка и анализ клиентских звонков</x:v>
      </x:c>
      <x:c r="C19" s="21" t="str">
        <x:v>Да</x:v>
      </x:c>
      <x:c r="D19" s="21" t="str">
        <x:v>Через загрузку/интеграцию</x:v>
      </x:c>
      <x:c r="E19" s="21" t="str">
        <x:v>Не заявлено</x:v>
      </x:c>
      <x:c r="F19" s="21" t="str">
        <x:v>Среднее</x:v>
      </x:c>
      <x:c r="G19" s="21" t="str">
        <x:v>Нет</x:v>
      </x:c>
      <x:c r="H19" s="21" t="str">
        <x:v>BitrixGPT нативно заполняет CRM и анализирует скрипты продаж.</x:v>
      </x:c>
    </x:row>
    <x:row r="20" ht="42" customHeight="1">
      <x:c r="A20" s="23" t="str">
        <x:v>Коммуникации</x:v>
      </x:c>
      <x:c r="B20" s="21" t="str">
        <x:v>Резюме видеовстреч и договорённостей</x:v>
      </x:c>
      <x:c r="C20" s="21" t="str">
        <x:v>Да</x:v>
      </x:c>
      <x:c r="D20" s="21" t="str">
        <x:v>Да</x:v>
      </x:c>
      <x:c r="E20" s="21" t="str">
        <x:v>Не заявлено</x:v>
      </x:c>
      <x:c r="F20" s="21" t="str">
        <x:v>Высокое</x:v>
      </x:c>
      <x:c r="G20" s="21" t="str">
        <x:v>Нет</x:v>
      </x:c>
      <x:c r="H20" s="21" t="str">
        <x:v>BitrixGPT Follow-up встроен непосредственно в звонки и чаты.</x:v>
      </x:c>
    </x:row>
    <x:row r="21" ht="42" customHeight="1">
      <x:c r="A21" s="23" t="str">
        <x:v>Работа</x:v>
      </x:c>
      <x:c r="B21" s="21" t="str">
        <x:v>Задачи и проекты</x:v>
      </x:c>
      <x:c r="C21" s="21" t="str">
        <x:v>Полноценная система</x:v>
      </x:c>
      <x:c r="D21" s="21" t="str">
        <x:v>AI-проекты</x:v>
      </x:c>
      <x:c r="E21" s="21" t="str">
        <x:v>Контекстные AI-проекты</x:v>
      </x:c>
      <x:c r="F21" s="21" t="str">
        <x:v>Среднее</x:v>
      </x:c>
      <x:c r="G21" s="21" t="str">
        <x:v>Среднее</x:v>
      </x:c>
      <x:c r="H21" s="21" t="str">
        <x:v>AI-проекты не заменяют управление сроками, ролями и загрузкой в Битрикс24.</x:v>
      </x:c>
    </x:row>
    <x:row r="22" ht="42" customHeight="1">
      <x:c r="A22" s="23" t="str">
        <x:v>Работа</x:v>
      </x:c>
      <x:c r="B22" s="21" t="str">
        <x:v>Автономные задачи по расписанию</x:v>
      </x:c>
      <x:c r="C22" s="21" t="str">
        <x:v>Бизнес-процессы</x:v>
      </x:c>
      <x:c r="D22" s="21" t="str">
        <x:v>Да</x:v>
      </x:c>
      <x:c r="E22" s="21" t="str">
        <x:v>Не заявлено</x:v>
      </x:c>
      <x:c r="F22" s="21" t="str">
        <x:v>Среднее</x:v>
      </x:c>
      <x:c r="G22" s="21" t="str">
        <x:v>Нет</x:v>
      </x:c>
      <x:c r="H22" s="21" t="str">
        <x:v>Искра выделяется агентами, которые выполняют регулярные задания.</x:v>
      </x:c>
    </x:row>
    <x:row r="23" ht="42" customHeight="1">
      <x:c r="A23" s="23" t="str">
        <x:v>Интеграции</x:v>
      </x:c>
      <x:c r="B23" s="21" t="str">
        <x:v>1С, CRM, почта, календарь, Confluence</x:v>
      </x:c>
      <x:c r="C23" s="21" t="str">
        <x:v>Маркетплейс/API</x:v>
      </x:c>
      <x:c r="D23" s="21" t="str">
        <x:v>Заявлены через MCP</x:v>
      </x:c>
      <x:c r="E23" s="21" t="str">
        <x:v>Не заявлены</x:v>
      </x:c>
      <x:c r="F23" s="21" t="str">
        <x:v>Среднее</x:v>
      </x:c>
      <x:c r="G23" s="21" t="str">
        <x:v>Нет</x:v>
      </x:c>
      <x:c r="H23" s="21" t="str">
        <x:v>Готовность каждого коннектора Искры нужно проверять пилотом.</x:v>
      </x:c>
    </x:row>
    <x:row r="24" ht="42" customHeight="1">
      <x:c r="A24" s="23" t="str">
        <x:v>Интеграции</x:v>
      </x:c>
      <x:c r="B24" s="21" t="str">
        <x:v>Нативные действия внутри Битрикс24</x:v>
      </x:c>
      <x:c r="C24" s="21" t="str">
        <x:v>Да</x:v>
      </x:c>
      <x:c r="D24" s="21" t="str">
        <x:v>Требует интеграции</x:v>
      </x:c>
      <x:c r="E24" s="21" t="str">
        <x:v>Не заявлено</x:v>
      </x:c>
      <x:c r="F24" s="21" t="str">
        <x:v>Высокое</x:v>
      </x:c>
      <x:c r="G24" s="21" t="str">
        <x:v>Нет</x:v>
      </x:c>
      <x:c r="H24" s="21" t="str">
        <x:v>Сильная сторона BitrixGPT — результат AI сразу превращается в объект портала.</x:v>
      </x:c>
    </x:row>
    <x:row r="25" ht="42" customHeight="1">
      <x:c r="A25" s="23" t="str">
        <x:v>Администрирование</x:v>
      </x:c>
      <x:c r="B25" s="21" t="str">
        <x:v>Роли, группы и лимиты</x:v>
      </x:c>
      <x:c r="C25" s="21" t="str">
        <x:v>Да</x:v>
      </x:c>
      <x:c r="D25" s="21" t="str">
        <x:v>Да</x:v>
      </x:c>
      <x:c r="E25" s="21" t="str">
        <x:v>Да</x:v>
      </x:c>
      <x:c r="F25" s="21" t="str">
        <x:v>Высокое</x:v>
      </x:c>
      <x:c r="G25" s="21" t="str">
        <x:v>Высокое</x:v>
      </x:c>
      <x:c r="H25" s="21" t="str">
        <x:v>Базовые корпоративные функции присутствуют во всех решениях.</x:v>
      </x:c>
    </x:row>
    <x:row r="26" ht="42" customHeight="1">
      <x:c r="A26" s="23" t="str">
        <x:v>Безопасность</x:v>
      </x:c>
      <x:c r="B26" s="21" t="str">
        <x:v>On-premise</x:v>
      </x:c>
      <x:c r="C26" s="21" t="str">
        <x:v>Да, коробка</x:v>
      </x:c>
      <x:c r="D26" s="21" t="str">
        <x:v>Да</x:v>
      </x:c>
      <x:c r="E26" s="21" t="str">
        <x:v>Локальные модели/изолированные серверы по запросу</x:v>
      </x:c>
      <x:c r="F26" s="21" t="str">
        <x:v>Среднее</x:v>
      </x:c>
      <x:c r="G26" s="21" t="str">
        <x:v>Низкое</x:v>
      </x:c>
      <x:c r="H26" s="21" t="str">
        <x:v>У Daisy полная локальность всей платформы требует договорного подтверждения.</x:v>
      </x:c>
    </x:row>
    <x:row r="27" ht="42" customHeight="1">
      <x:c r="A27" s="23" t="str">
        <x:v>Безопасность</x:v>
      </x:c>
      <x:c r="B27" s="21" t="str">
        <x:v>Маскирование ПДн перед LLM</x:v>
      </x:c>
      <x:c r="C27" s="21" t="str">
        <x:v>Не заявлено универсально</x:v>
      </x:c>
      <x:c r="D27" s="21" t="str">
        <x:v>Да, заявлено</x:v>
      </x:c>
      <x:c r="E27" s="21" t="str">
        <x:v>Да, заявлено</x:v>
      </x:c>
      <x:c r="F27" s="21" t="str">
        <x:v>Низкое</x:v>
      </x:c>
      <x:c r="G27" s="21" t="str">
        <x:v>Низкое</x:v>
      </x:c>
      <x:c r="H27" s="21" t="str">
        <x:v>Коммерческая тайна шире персональных данных и может не распознаваться PII-фильтром.</x:v>
      </x:c>
    </x:row>
    <x:row r="28" ht="42" customHeight="1">
      <x:c r="A28" s="23" t="str">
        <x:v>Безопасность</x:v>
      </x:c>
      <x:c r="B28" s="21" t="str">
        <x:v>Защита от prompt injection</x:v>
      </x:c>
      <x:c r="C28" s="21" t="str">
        <x:v>Публично не раскрыта</x:v>
      </x:c>
      <x:c r="D28" s="21" t="str">
        <x:v>Да, заявлена</x:v>
      </x:c>
      <x:c r="E28" s="21" t="str">
        <x:v>Не подтверждено</x:v>
      </x:c>
      <x:c r="F28" s="21" t="str">
        <x:v>Низкое</x:v>
      </x:c>
      <x:c r="G28" s="21" t="str">
        <x:v>Нет</x:v>
      </x:c>
      <x:c r="H28" s="21" t="str">
        <x:v>Для агентов и RAG это отдельный важный механизм.</x:v>
      </x:c>
    </x:row>
    <x:row r="29" ht="42" customHeight="1">
      <x:c r="A29" s="23" t="str">
        <x:v>Безопасность</x:v>
      </x:c>
      <x:c r="B29" s="21" t="str">
        <x:v>AI-аудит и экспорт в SIEM</x:v>
      </x:c>
      <x:c r="C29" s="21" t="str">
        <x:v>Журналирование портала</x:v>
      </x:c>
      <x:c r="D29" s="21" t="str">
        <x:v>Да, заявлено</x:v>
      </x:c>
      <x:c r="E29" s="21" t="str">
        <x:v>Отчёты об использовании</x:v>
      </x:c>
      <x:c r="F29" s="21" t="str">
        <x:v>Низкое</x:v>
      </x:c>
      <x:c r="G29" s="21" t="str">
        <x:v>Низкое</x:v>
      </x:c>
      <x:c r="H29" s="21" t="str">
        <x:v>Нужны демонстрация и описание состава логов, сроков хранения и ролей доступа.</x:v>
      </x:c>
    </x:row>
  </x:sheetData>
  <x:mergeCells>
    <x:mergeCell ref="A1:H1"/>
    <x:mergeCell ref="A2:H2"/>
  </x:mergeCells>
  <x:conditionalFormatting sqref="F5:G29">
    <x:cfRule type="containsText" dxfId="0" priority="1" operator="containsText" text="Высокое"/>
    <x:cfRule type="containsText" dxfId="1" priority="2" operator="containsText" text="Среднее"/>
    <x:cfRule type="containsText" dxfId="2" priority="3" operator="containsText" text="Низкое"/>
    <x:cfRule type="containsText" dxfId="3" priority="4" operator="containsText" text="Нет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1" hidden="0" customWidth="1"/>
    <x:col min="4" max="4" width="24" hidden="0" customWidth="1"/>
    <x:col min="5" max="5" width="18" hidden="0" customWidth="1"/>
    <x:col min="6" max="6" width="34" hidden="0" customWidth="1"/>
    <x:col min="7" max="7" width="23" hidden="0" customWidth="1"/>
    <x:col min="8" max="8" width="23" hidden="0" customWidth="1"/>
  </x:cols>
  <x:sheetData>
    <x:row r="1" ht="34" customHeight="1">
      <x:c r="A1" s="4" t="str">
        <x:v>Стоимость лицензий и сценарии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Цены актуальны на 13.08.2026. Тарифы различаются по лимитам и не являются полностью эквивалентными. Жёлтые ячейки — редактируемые допущения.</x:v>
      </x:c>
      <x:c r="B2" s="8"/>
      <x:c r="C2" s="8"/>
      <x:c r="D2" s="8"/>
      <x:c r="E2" s="8"/>
      <x:c r="F2" s="8"/>
      <x:c r="G2" s="8"/>
      <x:c r="H2" s="8"/>
    </x:row>
    <x:row r="4" ht="36" customHeight="1">
      <x:c r="A4" s="14" t="str">
        <x:v>Параметр сценария</x:v>
      </x:c>
      <x:c r="B4" s="14" t="str">
        <x:v>Значение</x:v>
      </x:c>
      <x:c r="D4" s="14" t="str">
        <x:v>Сервис</x:v>
      </x:c>
      <x:c r="E4" s="14" t="str">
        <x:v>Стоимость в год</x:v>
      </x:c>
      <x:c r="F4" s="14" t="str">
        <x:v>Комментарий</x:v>
      </x:c>
    </x:row>
    <x:row r="5" ht="36" customHeight="1">
      <x:c r="A5" s="20" t="str">
        <x:v>Количество сотрудников</x:v>
      </x:c>
      <x:c r="B5" s="27" t="n">
        <x:v>50</x:v>
      </x:c>
      <x:c r="D5" s="20" t="str">
        <x:v>Битрикс24 + BitrixGPT</x:v>
      </x:c>
      <x:c r="E5" s="28" t="n">
        <x:f>$B$8</x:f>
        <x:v>60000</x:v>
      </x:c>
      <x:c r="F5" s="20" t="str">
        <x:v>Инкрементальная стоимость для уже купленного портала; выбран стандартный тариф КП-250.</x:v>
      </x:c>
    </x:row>
    <x:row r="6" ht="36" customHeight="1">
      <x:c r="A6" s="21" t="str">
        <x:v>Daisy, ₽/польз./мес.</x:v>
      </x:c>
      <x:c r="B6" s="26" t="n">
        <x:v>3000</x:v>
      </x:c>
      <x:c r="D6" s="21" t="str">
        <x:v>Искра</x:v>
      </x:c>
      <x:c r="E6" s="29" t="n">
        <x:f>$B$7*12</x:f>
        <x:v>168000</x:v>
      </x:c>
      <x:c r="F6" s="21" t="str">
        <x:v>В сценарии выбран облачный пакет M; число участников не ограничено, расходуется общий пул токенов.</x:v>
      </x:c>
    </x:row>
    <x:row r="7" ht="36" customHeight="1">
      <x:c r="A7" s="21" t="str">
        <x:v>Искра, выбранный пакет ₽/мес.</x:v>
      </x:c>
      <x:c r="B7" s="26" t="n">
        <x:v>14000</x:v>
      </x:c>
      <x:c r="D7" s="21" t="str">
        <x:v>Daisy Teams</x:v>
      </x:c>
      <x:c r="E7" s="29" t="n">
        <x:f>$B$5*$B$6*12</x:f>
        <x:v>1800000</x:v>
      </x:c>
      <x:c r="F7" s="21" t="str">
        <x:v>Оплата за каждое рабочее место; превышение лимитов оплачивается дополнительно.</x:v>
      </x:c>
    </x:row>
    <x:row r="8" ht="36" customHeight="1">
      <x:c r="A8" s="21" t="str">
        <x:v>BitrixGPT, подписка ₽/год</x:v>
      </x:c>
      <x:c r="B8" s="26" t="n">
        <x:v>60000</x:v>
      </x:c>
    </x:row>
    <x:row r="11" ht="36" customHeight="1">
      <x:c r="A11" s="14" t="str">
        <x:v>Искра — облачные пакеты</x:v>
      </x:c>
      <x:c r="B11" s="14" t="str">
        <x:v>Токены, MT/мес.</x:v>
      </x:c>
      <x:c r="C11" s="14" t="str">
        <x:v>Цена, ₽/мес.</x:v>
      </x:c>
      <x:c r="D11" s="14" t="str">
        <x:v>Цена, ₽/год</x:v>
      </x:c>
    </x:row>
    <x:row r="12">
      <x:c r="A12" s="20" t="str">
        <x:v>XS</x:v>
      </x:c>
      <x:c r="B12" s="30" t="n">
        <x:v>1</x:v>
      </x:c>
      <x:c r="C12" s="28" t="n">
        <x:v>0</x:v>
      </x:c>
      <x:c r="D12" s="28" t="n">
        <x:f>C12*12</x:f>
        <x:v>0</x:v>
      </x:c>
    </x:row>
    <x:row r="13">
      <x:c r="A13" s="21" t="str">
        <x:v>S</x:v>
      </x:c>
      <x:c r="B13" s="31" t="n">
        <x:v>40</x:v>
      </x:c>
      <x:c r="C13" s="29" t="n">
        <x:v>5000</x:v>
      </x:c>
      <x:c r="D13" s="29" t="n">
        <x:f>C13*12</x:f>
        <x:v>60000</x:v>
      </x:c>
    </x:row>
    <x:row r="14">
      <x:c r="A14" s="21" t="str">
        <x:v>M</x:v>
      </x:c>
      <x:c r="B14" s="31" t="n">
        <x:v>140</x:v>
      </x:c>
      <x:c r="C14" s="29" t="n">
        <x:v>14000</x:v>
      </x:c>
      <x:c r="D14" s="29" t="n">
        <x:f>C14*12</x:f>
        <x:v>168000</x:v>
      </x:c>
    </x:row>
    <x:row r="15">
      <x:c r="A15" s="21" t="str">
        <x:v>L</x:v>
      </x:c>
      <x:c r="B15" s="31" t="n">
        <x:v>700</x:v>
      </x:c>
      <x:c r="C15" s="29" t="n">
        <x:v>49000</x:v>
      </x:c>
      <x:c r="D15" s="29" t="n">
        <x:f>C15*12</x:f>
        <x:v>588000</x:v>
      </x:c>
    </x:row>
    <x:row r="16">
      <x:c r="A16" s="21" t="str">
        <x:v>XL</x:v>
      </x:c>
      <x:c r="B16" s="31" t="n">
        <x:v>3000</x:v>
      </x:c>
      <x:c r="C16" s="29" t="n">
        <x:v>190000</x:v>
      </x:c>
      <x:c r="D16" s="29" t="n">
        <x:f>C16*12</x:f>
        <x:v>2280000</x:v>
      </x:c>
    </x:row>
    <x:row r="17">
      <x:c r="A17" s="21" t="str">
        <x:v>XXL</x:v>
      </x:c>
      <x:c r="B17" s="31" t="n">
        <x:v>20000</x:v>
      </x:c>
      <x:c r="C17" s="29" t="n">
        <x:v>990000</x:v>
      </x:c>
      <x:c r="D17" s="29" t="n">
        <x:f>C17*12</x:f>
        <x:v>11880000</x:v>
      </x:c>
    </x:row>
    <x:row r="20" ht="36" customHeight="1">
      <x:c r="A20" s="14" t="str">
        <x:v>Daisy Teams</x:v>
      </x:c>
      <x:c r="B20" s="14" t="str">
        <x:v>Цена, ₽/польз./мес.</x:v>
      </x:c>
      <x:c r="C20" s="14" t="str">
        <x:v>Цена, ₽/польз./год</x:v>
      </x:c>
      <x:c r="D20" s="14" t="str">
        <x:v>Примечание</x:v>
      </x:c>
      <x:c r="F20" s="14" t="str">
        <x:v>BitrixGPT + Маркетплейс для коробки</x:v>
      </x:c>
      <x:c r="G20" s="14" t="str">
        <x:v>Стандарт, ₽/год без НДС</x:v>
      </x:c>
      <x:c r="H20" s="14" t="str">
        <x:v>Акция -50%, ₽/год без НДС</x:v>
      </x:c>
    </x:row>
    <x:row r="21" ht="36" customHeight="1">
      <x:c r="A21" s="20" t="str">
        <x:v>Business</x:v>
      </x:c>
      <x:c r="B21" s="28" t="n">
        <x:v>3000</x:v>
      </x:c>
      <x:c r="C21" s="28" t="n">
        <x:f>B21*12</x:f>
        <x:v>36000</x:v>
      </x:c>
      <x:c r="D21" s="20" t="str">
        <x:v>Лимиты по моделям включены; токены сверх лимитов, изолированные серверы и выделенная поддержка — отдельно.</x:v>
      </x:c>
      <x:c r="F21" s="20" t="str">
        <x:v>Корпоративный портал 50</x:v>
      </x:c>
      <x:c r="G21" s="28" t="n">
        <x:v>60000</x:v>
      </x:c>
      <x:c r="H21" s="28" t="n">
        <x:v>30000</x:v>
      </x:c>
    </x:row>
    <x:row r="22" ht="36" customHeight="1">
      <x:c r="F22" s="21" t="str">
        <x:v>Корпоративный портал 100</x:v>
      </x:c>
      <x:c r="G22" s="29" t="n">
        <x:v>80000</x:v>
      </x:c>
      <x:c r="H22" s="29" t="n">
        <x:v>40000</x:v>
      </x:c>
    </x:row>
    <x:row r="23" ht="36" customHeight="1">
      <x:c r="F23" s="21" t="str">
        <x:v>Корпоративный портал 250</x:v>
      </x:c>
      <x:c r="G23" s="29" t="n">
        <x:v>120000</x:v>
      </x:c>
      <x:c r="H23" s="29" t="n">
        <x:v>60000</x:v>
      </x:c>
    </x:row>
    <x:row r="24" ht="36" customHeight="1">
      <x:c r="F24" s="21" t="str">
        <x:v>Корпоративный портал 500</x:v>
      </x:c>
      <x:c r="G24" s="29" t="n">
        <x:v>210000</x:v>
      </x:c>
      <x:c r="H24" s="29" t="n">
        <x:v>105000</x:v>
      </x:c>
    </x:row>
    <x:row r="25" ht="36" customHeight="1">
      <x:c r="F25" s="21" t="str">
        <x:v>Энтерпрайз 1000</x:v>
      </x:c>
      <x:c r="G25" s="29" t="n">
        <x:v>450000</x:v>
      </x:c>
      <x:c r="H25" s="29" t="n">
        <x:v>225000</x:v>
      </x:c>
    </x:row>
    <x:row r="27" ht="36" customHeight="1">
      <x:c r="A27" s="14" t="str">
        <x:v>Искра — on-premise</x:v>
      </x:c>
      <x:c r="B27" s="14" t="str">
        <x:v>Цена от, ₽/год</x:v>
      </x:c>
      <x:c r="C27" s="14" t="str">
        <x:v>Ограничение</x:v>
      </x:c>
      <x:c r="F27" s="35" t="str">
        <x:v>Акция указана на сайте Битрикс24 для зоны .RU и действует при выполнении условий до 15.04.2027. Для расчёта TCO используйте стандартную цену, пока поставщик не подтвердит скидку.</x:v>
      </x:c>
      <x:c r="G27" s="35"/>
      <x:c r="H27" s="35"/>
    </x:row>
    <x:row r="28" ht="44" customHeight="1">
      <x:c r="A28" s="20" t="str">
        <x:v>Простая</x:v>
      </x:c>
      <x:c r="B28" s="28" t="n">
        <x:v>2400000</x:v>
      </x:c>
      <x:c r="C28" s="20" t="str">
        <x:v>До 1 000 пользователей; сервер, GPU, LLM, внедрение и SLA отдельно</x:v>
      </x:c>
      <x:c r="F28" s="35"/>
      <x:c r="G28" s="35"/>
      <x:c r="H28" s="35"/>
    </x:row>
    <x:row r="29" ht="44" customHeight="1">
      <x:c r="A29" s="21" t="str">
        <x:v>Расширенная</x:v>
      </x:c>
      <x:c r="B29" s="29" t="n">
        <x:v>12000000</x:v>
      </x:c>
      <x:c r="C29" s="21" t="str">
        <x:v>Без ограничения пользователей; AD/SSO и поддержка развёртывания</x:v>
      </x:c>
    </x:row>
    <x:row r="30" ht="44" customHeight="1">
      <x:c r="A30" s="21" t="str">
        <x:v>Максимальная</x:v>
      </x:c>
      <x:c r="B30" s="29" t="n">
        <x:v>36000000</x:v>
      </x:c>
      <x:c r="C30" s="21" t="str">
        <x:v>Изолированный режим, аудит исходного кода и формальная работа с ИБ</x:v>
      </x:c>
    </x:row>
  </x:sheetData>
  <x:mergeCells>
    <x:mergeCell ref="A1:H1"/>
    <x:mergeCell ref="A2:H2"/>
    <x:mergeCell ref="F27:H27"/>
    <x:mergeCell ref="F28:H28"/>
  </x:mergeCells>
  <x:pageMargins left="0.7" right="0.7" top="0.75" bottom="0.75" header="0.3" footer="0.3"/>
  <x:drawing xmlns:r="http://schemas.openxmlformats.org/officeDocument/2006/relationships" r:id="R7bba176f1e674c8f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34" hidden="0" customWidth="1"/>
    <x:col min="5" max="5" width="42" hidden="0" customWidth="1"/>
    <x:col min="6" max="6" width="26" hidden="0" customWidth="1"/>
  </x:cols>
  <x:sheetData>
    <x:row r="1" ht="34" customHeight="1">
      <x:c r="A1" s="4" t="str">
        <x:v>Защита корпоративной информации</x:v>
      </x:c>
      <x:c r="B1" s="4"/>
      <x:c r="C1" s="4"/>
      <x:c r="D1" s="4"/>
      <x:c r="E1" s="4"/>
      <x:c r="F1" s="4"/>
    </x:row>
    <x:row r="2" ht="36" customHeight="1">
      <x:c r="A2" s="8" t="str">
        <x:v>Подтверждённые публичные сведения и ключевые ограничения. Маркетинговое заявление не приравнивается к независимому аудиту или сертификату.</x:v>
      </x:c>
      <x:c r="B2" s="8"/>
      <x:c r="C2" s="8"/>
      <x:c r="D2" s="8"/>
      <x:c r="E2" s="8"/>
      <x:c r="F2" s="8"/>
    </x:row>
    <x:row r="4" ht="42" customHeight="1">
      <x:c r="A4" s="14" t="str">
        <x:v>Критерий</x:v>
      </x:c>
      <x:c r="B4" s="14" t="str">
        <x:v>Битрикс24 / BitrixGPT</x:v>
      </x:c>
      <x:c r="C4" s="14" t="str">
        <x:v>Искра</x:v>
      </x:c>
      <x:c r="D4" s="14" t="str">
        <x:v>Daisy Teams</x:v>
      </x:c>
      <x:c r="E4" s="14" t="str">
        <x:v>Риск / что проверить</x:v>
      </x:c>
      <x:c r="F4" s="14" t="str">
        <x:v>Оценка доказательности</x:v>
      </x:c>
    </x:row>
    <x:row r="5" ht="62" customHeight="1">
      <x:c r="A5" s="22" t="str">
        <x:v>Хранение данных</x:v>
      </x:c>
      <x:c r="B5" s="20" t="str">
        <x:v>Облако и BitrixGPT — серверы в РФ; коробка — инфраструктура заказчика</x:v>
      </x:c>
      <x:c r="C5" s="20" t="str">
        <x:v>Облако — РФ; on-premise — контур заказчика</x:v>
      </x:c>
      <x:c r="D5" s="20" t="str">
        <x:v>ПДн российских пользователей хранятся в РФ; изолированные серверы по запросу</x:v>
      </x:c>
      <x:c r="E5" s="24" t="str">
        <x:v>Хранение в РФ не исключает передачу запроса внешней LLM</x:v>
      </x:c>
      <x:c r="F5" s="20" t="str">
        <x:v>Битрикс: высокая; Искра/Daisy: заявление поставщика</x:v>
      </x:c>
    </x:row>
    <x:row r="6" ht="62" customHeight="1">
      <x:c r="A6" s="23" t="str">
        <x:v>Передача внешней модели</x:v>
      </x:c>
      <x:c r="B6" s="21" t="str">
        <x:v>Зависит от выбранной модели и приложения Маркетплейса</x:v>
      </x:c>
      <x:c r="C6" s="21" t="str">
        <x:v>Чувствительные данные обещают блокировать или маскировать</x:v>
      </x:c>
      <x:c r="D6" s="21" t="str">
        <x:v>Ключевой сценарий — ChatGPT, Claude, Gemini и другие внешние модели</x:v>
      </x:c>
      <x:c r="E6" s="25" t="str">
        <x:v>Нужна схема data flow, список субобработчиков и страны обработки</x:v>
      </x:c>
      <x:c r="F6" s="21" t="str">
        <x:v>Средняя</x:v>
      </x:c>
    </x:row>
    <x:row r="7" ht="62" customHeight="1">
      <x:c r="A7" s="23" t="str">
        <x:v>Использование для обучения</x:v>
      </x:c>
      <x:c r="B7" s="21" t="str">
        <x:v>BitrixGPT может использовать данные для улучшения локальных моделей; внешние — по правилам провайдера</x:v>
      </x:c>
      <x:c r="C7" s="21" t="str">
        <x:v>На сайте заявлено: данные не используются для обучения</x:v>
      </x:c>
      <x:c r="D7" s="21" t="str">
        <x:v>Публичного прямого запрета обучения всеми поставщиками моделей не найдено</x:v>
      </x:c>
      <x:c r="E7" s="25" t="str">
        <x:v>Зафиксировать contractual no-training и zero-retention</x:v>
      </x:c>
      <x:c r="F7" s="21" t="str">
        <x:v>Средняя/низкая</x:v>
      </x:c>
    </x:row>
    <x:row r="8" ht="62" customHeight="1">
      <x:c r="A8" s="23" t="str">
        <x:v>ПДн третьих лиц</x:v>
      </x:c>
      <x:c r="B8" s="21" t="str">
        <x:v>Допустимость зависит от договора и выбранного AI-провайдера</x:v>
      </x:c>
      <x:c r="C8" s="21" t="str">
        <x:v>Публичная оферта запрещает загрузку ПДн третьих лиц</x:v>
      </x:c>
      <x:c r="D8" s="21" t="str">
        <x:v>Публичное соглашение запрещает ПДн третьих лиц и конфиденциальные данные</x:v>
      </x:c>
      <x:c r="E8" s="25" t="str">
        <x:v>Нужен отдельный B2B-договор поручения обработки по 152-ФЗ</x:v>
      </x:c>
      <x:c r="F8" s="21" t="str">
        <x:v>Высокая: ограничения есть в документах</x:v>
      </x:c>
    </x:row>
    <x:row r="9" ht="62" customHeight="1">
      <x:c r="A9" s="23" t="str">
        <x:v>Шифрование</x:v>
      </x:c>
      <x:c r="B9" s="21" t="str">
        <x:v>TLS/HTTPS подтверждены; для Enterprise заявлен TLS 1.3</x:v>
      </x:c>
      <x:c r="C9" s="21" t="str">
        <x:v>Заявлены современные методы шифрования</x:v>
      </x:c>
      <x:c r="D9" s="21" t="str">
        <x:v>Конкретные алгоритмы и шифрование на диске публично не раскрыты</x:v>
      </x:c>
      <x:c r="E9" s="25" t="str">
        <x:v>Запросить at-rest encryption, KMS и управление ключами</x:v>
      </x:c>
      <x:c r="F9" s="21" t="str">
        <x:v>Битрикс: высокая; остальные: низкая</x:v>
      </x:c>
    </x:row>
    <x:row r="10" ht="62" customHeight="1">
      <x:c r="A10" s="23" t="str">
        <x:v>Доступ и идентификация</x:v>
      </x:c>
      <x:c r="B10" s="21" t="str">
        <x:v>RBAC, 2FA, SSO SAML/LDAP/AD</x:v>
      </x:c>
      <x:c r="C10" s="21" t="str">
        <x:v>Роли; AD/SSO в расширенной лицензии</x:v>
      </x:c>
      <x:c r="D10" s="21" t="str">
        <x:v>Роли и лимиты; SSO/MFA в deck не подтверждены</x:v>
      </x:c>
      <x:c r="E10" s="25" t="str">
        <x:v>Проверить MFA, SSO, SCIM и отзыв доступа</x:v>
      </x:c>
      <x:c r="F10" s="21" t="str">
        <x:v>Средняя/высокая</x:v>
      </x:c>
    </x:row>
    <x:row r="11" ht="62" customHeight="1">
      <x:c r="A11" s="23" t="str">
        <x:v>AI-защита</x:v>
      </x:c>
      <x:c r="B11" s="21" t="str">
        <x:v>Специализированная защита prompt injection публично не раскрыта</x:v>
      </x:c>
      <x:c r="C11" s="21" t="str">
        <x:v>Заявлены PII masking, prompt-injection и jailbreak detection</x:v>
      </x:c>
      <x:c r="D11" s="21" t="str">
        <x:v>Заявлены PII/NSFW Guardrails</x:v>
      </x:c>
      <x:c r="E11" s="25" t="str">
        <x:v>Провести тест на утечки через RAG, агента и вредоносные документы</x:v>
      </x:c>
      <x:c r="F11" s="21" t="str">
        <x:v>Низкая без независимого теста</x:v>
      </x:c>
    </x:row>
    <x:row r="12" ht="62" customHeight="1">
      <x:c r="A12" s="23" t="str">
        <x:v>Аудит</x:v>
      </x:c>
      <x:c r="B12" s="21" t="str">
        <x:v>Журнал событий и аудит коробки</x:v>
      </x:c>
      <x:c r="C12" s="21" t="str">
        <x:v>Полный лог запросов/ответов и экспорт в SIEM заявлены</x:v>
      </x:c>
      <x:c r="D12" s="21" t="str">
        <x:v>Отчёты использования; security-аудит не описан</x:v>
      </x:c>
      <x:c r="E12" s="25" t="str">
        <x:v>Уточнить, кто может читать чаты и сколько хранятся логи</x:v>
      </x:c>
      <x:c r="F12" s="21" t="str">
        <x:v>Средняя</x:v>
      </x:c>
    </x:row>
    <x:row r="13" ht="62" customHeight="1">
      <x:c r="A13" s="23" t="str">
        <x:v>Сертификация</x:v>
      </x:c>
      <x:c r="B13" s="21" t="str">
        <x:v>ФСТЭК №4750 для соответствующей редакции Enterprise</x:v>
      </x:c>
      <x:c r="C13" s="21" t="str">
        <x:v>Публичные сертификаты не найдены</x:v>
      </x:c>
      <x:c r="D13" s="21" t="str">
        <x:v>Публичные сертификаты не найдены</x:v>
      </x:c>
      <x:c r="E13" s="25" t="str">
        <x:v>Сертификат относится к конкретной версии и конфигурации</x:v>
      </x:c>
      <x:c r="F13" s="21" t="str">
        <x:v>Битрикс: высокая</x:v>
      </x:c>
    </x:row>
    <x:row r="14" ht="62" customHeight="1">
      <x:c r="A14" s="23" t="str">
        <x:v>Безопасный режим</x:v>
      </x:c>
      <x:c r="B14" s="21" t="str">
        <x:v>Коробка локальна, но AI-запрос может уйти провайдеру</x:v>
      </x:c>
      <x:c r="C14" s="21" t="str">
        <x:v>Полностью локальная модель и режим без интернета заявлены</x:v>
      </x:c>
      <x:c r="D14" s="21" t="str">
        <x:v>Локальные Qwen/GPT-OSS заявлены, полная изоляция требует подтверждения</x:v>
      </x:c>
      <x:c r="E14" s="25" t="str">
        <x:v>Для коммерческой тайны нужен запрет исходящего трафика</x:v>
      </x:c>
      <x:c r="F14" s="21" t="str">
        <x:v>Средняя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68" hidden="0" customWidth="1"/>
    <x:col min="4" max="4" width="48" hidden="0" customWidth="1"/>
  </x:cols>
  <x:sheetData>
    <x:row r="1" ht="34" customHeight="1">
      <x:c r="A1" s="4" t="str">
        <x:v>Источники и допущения</x:v>
      </x:c>
      <x:c r="B1" s="4"/>
      <x:c r="C1" s="4"/>
      <x:c r="D1" s="4"/>
    </x:row>
    <x:row r="2" ht="28" customHeight="1">
      <x:c r="A2" s="8" t="str">
        <x:v>URL сохранены обычным текстом для проверки цен, функций и условий безопасности.</x:v>
      </x:c>
      <x:c r="B2" s="8"/>
      <x:c r="C2" s="8"/>
      <x:c r="D2" s="8"/>
    </x:row>
    <x:row r="4" ht="34" customHeight="1">
      <x:c r="A4" s="14" t="str">
        <x:v>Сервис</x:v>
      </x:c>
      <x:c r="B4" s="14" t="str">
        <x:v>Тема</x:v>
      </x:c>
      <x:c r="C4" s="14" t="str">
        <x:v>Источник</x:v>
      </x:c>
      <x:c r="D4" s="14" t="str">
        <x:v>Примечание</x:v>
      </x:c>
    </x:row>
    <x:row r="5" ht="40" customHeight="1">
      <x:c r="A5" s="20" t="str">
        <x:v>Битрикс24</x:v>
      </x:c>
      <x:c r="B5" s="20" t="str">
        <x:v>Функциональность</x:v>
      </x:c>
      <x:c r="C5" s="20" t="str">
        <x:v>https://helpdesk.bitrix24.ru/open/20963834/</x:v>
      </x:c>
      <x:c r="D5" s="20" t="str">
        <x:v>Основные возможности портала</x:v>
      </x:c>
    </x:row>
    <x:row r="6" ht="40" customHeight="1">
      <x:c r="A6" s="21" t="str">
        <x:v>Битрикс24</x:v>
      </x:c>
      <x:c r="B6" s="21" t="str">
        <x:v>BitrixGPT</x:v>
      </x:c>
      <x:c r="C6" s="21" t="str">
        <x:v>https://helpdesk.bitrix24.ru/open/28790658/</x:v>
      </x:c>
      <x:c r="D6" s="21" t="str">
        <x:v>AI в CRM, задачах, почте, звонках и других инструментах</x:v>
      </x:c>
    </x:row>
    <x:row r="7" ht="40" customHeight="1">
      <x:c r="A7" s="21" t="str">
        <x:v>Битрикс24</x:v>
      </x:c>
      <x:c r="B7" s="21" t="str">
        <x:v>AI-агенты</x:v>
      </x:c>
      <x:c r="C7" s="21" t="str">
        <x:v>https://helpdesk.bitrix24.ru/open/27455370/</x:v>
      </x:c>
      <x:c r="D7" s="21" t="str">
        <x:v>Готовые и собственные агенты</x:v>
      </x:c>
    </x:row>
    <x:row r="8" ht="40" customHeight="1">
      <x:c r="A8" s="21" t="str">
        <x:v>Битрикс24</x:v>
      </x:c>
      <x:c r="B8" s="21" t="str">
        <x:v>Цена BitrixGPT для коробки</x:v>
      </x:c>
      <x:c r="C8" s="21" t="str">
        <x:v>https://www.bitrix24.ru/prices/self-hosted.php</x:v>
      </x:c>
      <x:c r="D8" s="21" t="str">
        <x:v>Стандартные и акционные цены; без НДС</x:v>
      </x:c>
    </x:row>
    <x:row r="9" ht="40" customHeight="1">
      <x:c r="A9" s="21" t="str">
        <x:v>Битрикс24</x:v>
      </x:c>
      <x:c r="B9" s="21" t="str">
        <x:v>Обработка данных AI</x:v>
      </x:c>
      <x:c r="C9" s="21" t="str">
        <x:v>https://helpdesk.bitrix24.ru/open/19076234/</x:v>
      </x:c>
      <x:c r="D9" s="21" t="str">
        <x:v>Хранение до 14 дней и возможность улучшения локальных моделей</x:v>
      </x:c>
    </x:row>
    <x:row r="10" ht="40" customHeight="1">
      <x:c r="A10" s="21" t="str">
        <x:v>Битрикс24</x:v>
      </x:c>
      <x:c r="B10" s="21" t="str">
        <x:v>Безопасность Enterprise</x:v>
      </x:c>
      <x:c r="C10" s="21" t="str">
        <x:v>https://www.bitrix24.ru/enterprise/on-premise/</x:v>
      </x:c>
      <x:c r="D10" s="21" t="str">
        <x:v>TLS, RBAC, 2FA, SSO и сертификат ФСТЭК</x:v>
      </x:c>
    </x:row>
    <x:row r="11" ht="40" customHeight="1">
      <x:c r="A11" s="21" t="str">
        <x:v>Искра</x:v>
      </x:c>
      <x:c r="B11" s="21" t="str">
        <x:v>Для бизнеса и цены</x:v>
      </x:c>
      <x:c r="C11" s="21" t="str">
        <x:v>https://iskrabot.ru/dlya-biznesa/</x:v>
      </x:c>
      <x:c r="D11" s="21" t="str">
        <x:v>Облачные пакеты и функции</x:v>
      </x:c>
    </x:row>
    <x:row r="12" ht="40" customHeight="1">
      <x:c r="A12" s="21" t="str">
        <x:v>Искра</x:v>
      </x:c>
      <x:c r="B12" s="21" t="str">
        <x:v>Enterprise и on-premise</x:v>
      </x:c>
      <x:c r="C12" s="21" t="str">
        <x:v>https://iskrabot.ru/enterprise/</x:v>
      </x:c>
      <x:c r="D12" s="21" t="str">
        <x:v>AI-инспектор, SIEM, интеграции, цены on-premise</x:v>
      </x:c>
    </x:row>
    <x:row r="13" ht="40" customHeight="1">
      <x:c r="A13" s="21" t="str">
        <x:v>Искра</x:v>
      </x:c>
      <x:c r="B13" s="21" t="str">
        <x:v>Политика конфиденциальности</x:v>
      </x:c>
      <x:c r="C13" s="21" t="str">
        <x:v>https://cloud.iskrabot.ru/iskra/legal/iskra_privacy_policy.pdf</x:v>
      </x:c>
      <x:c r="D13" s="21" t="str">
        <x:v>Хранение, меры защиты и передача третьим лицам</x:v>
      </x:c>
    </x:row>
    <x:row r="14" ht="40" customHeight="1">
      <x:c r="A14" s="21" t="str">
        <x:v>Искра</x:v>
      </x:c>
      <x:c r="B14" s="21" t="str">
        <x:v>Пользовательское соглашение</x:v>
      </x:c>
      <x:c r="C14" s="21" t="str">
        <x:v>https://cloud.iskrabot.ru/iskra/legal/iskra_terms_of_service.pdf</x:v>
      </x:c>
      <x:c r="D14" s="21" t="str">
        <x:v>Ограничение на загрузку ПДн третьих лиц</x:v>
      </x:c>
    </x:row>
    <x:row r="15" ht="40" customHeight="1">
      <x:c r="A15" s="21" t="str">
        <x:v>Daisy Teams</x:v>
      </x:c>
      <x:c r="B15" s="21" t="str">
        <x:v>Функции и цена</x:v>
      </x:c>
      <x:c r="C15" s="21" t="str">
        <x:v>/Users/max/Downloads/daisy teams — deck (1).pdf</x:v>
      </x:c>
      <x:c r="D15" s="21" t="str">
        <x:v>Предоставленная презентация red_mad_robot, 2026</x:v>
      </x:c>
    </x:row>
    <x:row r="16" ht="40" customHeight="1">
      <x:c r="A16" s="21" t="str">
        <x:v>Daisy</x:v>
      </x:c>
      <x:c r="B16" s="21" t="str">
        <x:v>Политика конфиденциальности</x:v>
      </x:c>
      <x:c r="C16" s="21" t="str">
        <x:v>https://gptdaisy.com/policy</x:v>
      </x:c>
      <x:c r="D16" s="21" t="str">
        <x:v>Хранение в РФ и возможная передача третьим лицам/за рубеж</x:v>
      </x:c>
    </x:row>
    <x:row r="17" ht="40" customHeight="1">
      <x:c r="A17" s="21" t="str">
        <x:v>Daisy</x:v>
      </x:c>
      <x:c r="B17" s="21" t="str">
        <x:v>Пользовательское соглашение</x:v>
      </x:c>
      <x:c r="C17" s="21" t="str">
        <x:v>https://gptdaisy.com/terms-of-service</x:v>
      </x:c>
      <x:c r="D17" s="21" t="str">
        <x:v>Запрет конфиденциальной информации и ПДн третьих лиц в публичной версии</x:v>
      </x:c>
    </x:row>
  </x:sheetData>
  <x:mergeCells>
    <x:mergeCell ref="A1:D1"/>
    <x:mergeCell ref="A2:D2"/>
  </x:mergeCells>
  <x:pageMargins left="0.7" right="0.7" top="0.75" bottom="0.75" header="0.3" footer="0.3"/>
</x:worksheet>
</file>