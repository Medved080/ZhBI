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ёт" sheetId="1" state="visible" r:id="rId1"/>
    <sheet xmlns:r="http://schemas.openxmlformats.org/officeDocument/2006/relationships" name="Допущения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;(#,##0);-"/>
    <numFmt numFmtId="166" formatCode="0.0"/>
    <numFmt numFmtId="167" formatCode="#,##0.0;(#,##0.0);-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165" fontId="2" fillId="0" borderId="1" pivotButton="0" quotePrefix="0" xfId="0"/>
    <xf numFmtId="0" fontId="4" fillId="0" borderId="0" pivotButton="0" quotePrefix="0" xfId="0"/>
    <xf numFmtId="165" fontId="4" fillId="0" borderId="1" pivotButton="0" quotePrefix="0" xfId="0"/>
    <xf numFmtId="167" fontId="2" fillId="0" borderId="1" pivotButton="0" quotePrefix="0" xfId="0"/>
    <xf numFmtId="164" fontId="4" fillId="0" borderId="1" pivotButton="0" quotePrefix="0" xfId="0"/>
    <xf numFmtId="166" fontId="4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2" fillId="0" borderId="0" applyAlignment="1" pivotButton="0" quotePrefix="0" xfId="0">
      <alignment vertical="top" wrapText="1"/>
    </xf>
    <xf numFmtId="1" fontId="5" fillId="0" borderId="1" pivotButton="0" quotePrefix="0" xfId="0"/>
    <xf numFmtId="164" fontId="5" fillId="4" borderId="1" pivotButton="0" quotePrefix="0" xfId="0"/>
    <xf numFmtId="165" fontId="5" fillId="0" borderId="1" pivotButton="0" quotePrefix="0" xfId="0"/>
    <xf numFmtId="165" fontId="5" fillId="4" borderId="1" pivotButton="0" quotePrefix="0" xfId="0"/>
    <xf numFmtId="166" fontId="5" fillId="4" borderId="1" pivotButton="0" quotePrefix="0" xfId="0"/>
    <xf numFmtId="3" fontId="5" fillId="0" borderId="1" pivotButton="0" quotePrefix="0" xfId="0"/>
    <xf numFmtId="1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9" customWidth="1" min="2" max="2"/>
    <col width="52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Расчёт экономического эффекта — три сценария</t>
        </is>
      </c>
    </row>
    <row r="2">
      <c r="A2" s="2" t="inlineStr">
        <is>
          <t>Все ячейки — формулы от листа «Допущения». Суммы в рублях.</t>
        </is>
      </c>
    </row>
    <row r="4">
      <c r="A4" s="3" t="inlineStr">
        <is>
          <t>Показатель</t>
        </is>
      </c>
      <c r="B4" s="3" t="inlineStr">
        <is>
          <t>Ед.</t>
        </is>
      </c>
      <c r="C4" s="3" t="inlineStr">
        <is>
          <t>Как считается</t>
        </is>
      </c>
      <c r="D4" s="3" t="inlineStr">
        <is>
          <t>Консерват.</t>
        </is>
      </c>
      <c r="E4" s="3" t="inlineStr">
        <is>
          <t>База</t>
        </is>
      </c>
      <c r="F4" s="3" t="inlineStr">
        <is>
          <t>Оптимист.</t>
        </is>
      </c>
    </row>
    <row r="5">
      <c r="A5" s="4" t="inlineStr">
        <is>
          <t>Затраты на создание (разово)</t>
        </is>
      </c>
      <c r="B5" s="5" t="n"/>
      <c r="C5" s="5" t="n"/>
      <c r="D5" s="5" t="n"/>
      <c r="E5" s="5" t="n"/>
      <c r="F5" s="5" t="n"/>
    </row>
    <row r="6">
      <c r="A6" s="2" t="inlineStr">
        <is>
          <t>ФОТ на создание</t>
        </is>
      </c>
      <c r="B6" s="2" t="inlineStr">
        <is>
          <t>₽</t>
        </is>
      </c>
      <c r="C6" s="2" t="inlineStr">
        <is>
          <t>оценка автора</t>
        </is>
      </c>
      <c r="D6" s="6">
        <f>Допущения!D12</f>
        <v>500000.0</v>
      </c>
      <c r="E6" s="6">
        <f>Допущения!E12</f>
        <v>500000.0</v>
      </c>
      <c r="F6" s="6">
        <f>Допущения!F12</f>
        <v>500000.0</v>
      </c>
    </row>
    <row r="7">
      <c r="A7" s="2" t="inlineStr">
        <is>
          <t>Прочие разовые</t>
        </is>
      </c>
      <c r="B7" s="2" t="inlineStr">
        <is>
          <t>₽</t>
        </is>
      </c>
      <c r="C7" s="2" t="inlineStr">
        <is>
          <t>из допущений</t>
        </is>
      </c>
      <c r="D7" s="6">
        <f>Допущения!D13</f>
        <v>0.0</v>
      </c>
      <c r="E7" s="6">
        <f>Допущения!E13</f>
        <v>0.0</v>
      </c>
      <c r="F7" s="6">
        <f>Допущения!F13</f>
        <v>0.0</v>
      </c>
    </row>
    <row r="8">
      <c r="A8" s="7" t="inlineStr">
        <is>
          <t>ИТОГО затраты на создание</t>
        </is>
      </c>
      <c r="B8" s="2" t="inlineStr">
        <is>
          <t>₽</t>
        </is>
      </c>
      <c r="C8" s="2" t="inlineStr">
        <is>
          <t>сумма</t>
        </is>
      </c>
      <c r="D8" s="8">
        <f>SUM(D6:D7)</f>
        <v>500000.0</v>
      </c>
      <c r="E8" s="8">
        <f>SUM(E6:E7)</f>
        <v>500000.0</v>
      </c>
      <c r="F8" s="8">
        <f>SUM(F6:F7)</f>
        <v>500000.0</v>
      </c>
    </row>
    <row r="9">
      <c r="A9" s="4" t="inlineStr">
        <is>
          <t>Затраты на эксплуатацию (в год)</t>
        </is>
      </c>
      <c r="B9" s="5" t="n"/>
      <c r="C9" s="5" t="n"/>
      <c r="D9" s="5" t="n"/>
      <c r="E9" s="5" t="n"/>
      <c r="F9" s="5" t="n"/>
    </row>
    <row r="10">
      <c r="A10" s="2" t="inlineStr">
        <is>
          <t>Сопровождение и развитие</t>
        </is>
      </c>
      <c r="B10" s="2" t="inlineStr">
        <is>
          <t>₽/год</t>
        </is>
      </c>
      <c r="C10" s="2" t="inlineStr">
        <is>
          <t>ФОТ сопровождения</t>
        </is>
      </c>
      <c r="D10" s="6">
        <f>Допущения!D15</f>
        <v>1500000.0</v>
      </c>
      <c r="E10" s="6">
        <f>Допущения!E15</f>
        <v>1500000.0</v>
      </c>
      <c r="F10" s="6">
        <f>Допущения!F15</f>
        <v>1500000.0</v>
      </c>
    </row>
    <row r="11">
      <c r="A11" s="2" t="inlineStr">
        <is>
          <t>Серверы</t>
        </is>
      </c>
      <c r="B11" s="2" t="inlineStr">
        <is>
          <t>₽/год</t>
        </is>
      </c>
      <c r="C11" s="2" t="inlineStr">
        <is>
          <t>из допущений</t>
        </is>
      </c>
      <c r="D11" s="6">
        <f>Допущения!D16</f>
        <v>800000.0</v>
      </c>
      <c r="E11" s="6">
        <f>Допущения!E16</f>
        <v>800000.0</v>
      </c>
      <c r="F11" s="6">
        <f>Допущения!F16</f>
        <v>800000.0</v>
      </c>
    </row>
    <row r="12">
      <c r="A12" s="2" t="inlineStr">
        <is>
          <t>ИИ и облачные модели</t>
        </is>
      </c>
      <c r="B12" s="2" t="inlineStr">
        <is>
          <t>₽/год</t>
        </is>
      </c>
      <c r="C12" s="2" t="inlineStr">
        <is>
          <t>из допущений</t>
        </is>
      </c>
      <c r="D12" s="6">
        <f>Допущения!D17</f>
        <v>700000.0</v>
      </c>
      <c r="E12" s="6">
        <f>Допущения!E17</f>
        <v>700000.0</v>
      </c>
      <c r="F12" s="6">
        <f>Допущения!F17</f>
        <v>700000.0</v>
      </c>
    </row>
    <row r="13">
      <c r="A13" s="7" t="inlineStr">
        <is>
          <t>ИТОГО эксплуатация</t>
        </is>
      </c>
      <c r="B13" s="2" t="inlineStr">
        <is>
          <t>₽/год</t>
        </is>
      </c>
      <c r="C13" s="2" t="inlineStr">
        <is>
          <t>сумма</t>
        </is>
      </c>
      <c r="D13" s="8">
        <f>SUM(D10:D12)</f>
        <v>3000000.0</v>
      </c>
      <c r="E13" s="8">
        <f>SUM(E10:E12)</f>
        <v>3000000.0</v>
      </c>
      <c r="F13" s="8">
        <f>SUM(F10:F12)</f>
        <v>3000000.0</v>
      </c>
    </row>
    <row r="14">
      <c r="A14" s="4" t="inlineStr">
        <is>
          <t>Эффект в год при полном освоении</t>
        </is>
      </c>
      <c r="B14" s="5" t="n"/>
      <c r="C14" s="5" t="n"/>
      <c r="D14" s="5" t="n"/>
      <c r="E14" s="5" t="n"/>
      <c r="F14" s="5" t="n"/>
    </row>
    <row r="15">
      <c r="A15" s="2" t="inlineStr">
        <is>
          <t>Людей ручного учёта, которых не нужно нанимать</t>
        </is>
      </c>
      <c r="B15" s="2" t="inlineStr">
        <is>
          <t>чел.</t>
        </is>
      </c>
      <c r="C15" s="2" t="inlineStr">
        <is>
          <t>объекты / объектов на человека</t>
        </is>
      </c>
      <c r="D15" s="9">
        <f>Допущения!D22/Допущения!D19</f>
        <v>33.333333333333336</v>
      </c>
      <c r="E15" s="9">
        <f>Допущения!E22/Допущения!E19</f>
        <v>33.333333333333336</v>
      </c>
      <c r="F15" s="9">
        <f>Допущения!F22/Допущения!F19</f>
        <v>33.333333333333336</v>
      </c>
    </row>
    <row r="16">
      <c r="A16" s="7" t="inlineStr">
        <is>
          <t>A. Не нужны люди для ручного учёта (ФОТ)</t>
        </is>
      </c>
      <c r="B16" s="2" t="inlineStr">
        <is>
          <t>₽/год</t>
        </is>
      </c>
      <c r="C16" s="2" t="inlineStr">
        <is>
          <t>люди × ФОТ человека</t>
        </is>
      </c>
      <c r="D16" s="8">
        <f>D15*Допущения!D20</f>
        <v>60000000.00000001</v>
      </c>
      <c r="E16" s="8">
        <f>E15*Допущения!E20</f>
        <v>60000000.00000001</v>
      </c>
      <c r="F16" s="8">
        <f>F15*Допущения!F20</f>
        <v>60000000.00000001</v>
      </c>
    </row>
    <row r="17">
      <c r="A17" s="7" t="inlineStr">
        <is>
          <t>B. Меньше простоев и срывов поставки</t>
        </is>
      </c>
      <c r="B17" s="2" t="inlineStr">
        <is>
          <t>₽/год</t>
        </is>
      </c>
      <c r="C17" s="2" t="inlineStr">
        <is>
          <t>объекты × срывы × дни × цена дня × доля</t>
        </is>
      </c>
      <c r="D17" s="8">
        <f>Допущения!D22*Допущения!D23*Допущения!D24*Допущения!D25*Допущения!D26</f>
        <v>35000000.0</v>
      </c>
      <c r="E17" s="8">
        <f>Допущения!E22*Допущения!E23*Допущения!E24*Допущения!E25*Допущения!E26</f>
        <v>140000000.0</v>
      </c>
      <c r="F17" s="8">
        <f>Допущения!F22*Допущения!F23*Допущения!F24*Допущения!F25*Допущения!F26</f>
        <v>630000000.0</v>
      </c>
    </row>
    <row r="18">
      <c r="A18" s="7" t="inlineStr">
        <is>
          <t>C. Меньше ошибок и переделок</t>
        </is>
      </c>
      <c r="B18" s="2" t="inlineStr">
        <is>
          <t>₽/год</t>
        </is>
      </c>
      <c r="C18" s="2" t="inlineStr">
        <is>
          <t>объекты × изделия × доля ошибок × цена × доля устранения</t>
        </is>
      </c>
      <c r="D18" s="8">
        <f>Допущения!D22*Допущения!D28*Допущения!D29*Допущения!D30*Допущения!D31</f>
        <v>5437500.0</v>
      </c>
      <c r="E18" s="8">
        <f>Допущения!E22*Допущения!E28*Допущения!E29*Допущения!E30*Допущения!E31</f>
        <v>29000000.0</v>
      </c>
      <c r="F18" s="8">
        <f>Допущения!F22*Допущения!F28*Допущения!F29*Допущения!F30*Допущения!F31</f>
        <v>121799999.99999999</v>
      </c>
    </row>
    <row r="19">
      <c r="A19" s="7" t="inlineStr">
        <is>
          <t>D. Деньги и сроки (ПП): стоимость финансирования</t>
        </is>
      </c>
      <c r="B19" s="2" t="inlineStr">
        <is>
          <t>₽/год</t>
        </is>
      </c>
      <c r="C19" s="2" t="inlineStr">
        <is>
          <t>объём × доля × дни / 365 × ставка</t>
        </is>
      </c>
      <c r="D19" s="8">
        <f>Допущения!D33*Допущения!D34*Допущения!D35/365*Допущения!D9</f>
        <v>47945.20547945206</v>
      </c>
      <c r="E19" s="8">
        <f>Допущения!E33*Допущения!E34*Допущения!E35/365*Допущения!E9</f>
        <v>438356.16438356164</v>
      </c>
      <c r="F19" s="8">
        <f>Допущения!F33*Допущения!F34*Допущения!F35/365*Допущения!F9</f>
        <v>2219178.0821917807</v>
      </c>
    </row>
    <row r="20">
      <c r="A20" s="7" t="inlineStr">
        <is>
          <t>ИТОГО эффект в год</t>
        </is>
      </c>
      <c r="B20" s="2" t="inlineStr">
        <is>
          <t>₽/год</t>
        </is>
      </c>
      <c r="C20" s="2" t="inlineStr">
        <is>
          <t>A + B + C + D</t>
        </is>
      </c>
      <c r="D20" s="8">
        <f>D16+D17+D18+D19</f>
        <v>100485445.20547946</v>
      </c>
      <c r="E20" s="8">
        <f>E16+E17+E18+E19</f>
        <v>229438356.16438356</v>
      </c>
      <c r="F20" s="8">
        <f>F16+F17+F18+F19</f>
        <v>814019178.0821918</v>
      </c>
    </row>
    <row r="21">
      <c r="A21" s="7" t="inlineStr">
        <is>
          <t>Чистый эффект в год (эффект − эксплуатация)</t>
        </is>
      </c>
      <c r="B21" s="2" t="inlineStr">
        <is>
          <t>₽/год</t>
        </is>
      </c>
      <c r="C21" s="2" t="inlineStr"/>
      <c r="D21" s="8">
        <f>D20-D13</f>
        <v>97485445.20547946</v>
      </c>
      <c r="E21" s="8">
        <f>E20-E13</f>
        <v>226438356.16438356</v>
      </c>
      <c r="F21" s="8">
        <f>F20-F13</f>
        <v>811019178.0821918</v>
      </c>
    </row>
    <row r="22">
      <c r="A22" s="4" t="inlineStr">
        <is>
          <t>Денежный поток по годам</t>
        </is>
      </c>
      <c r="B22" s="5" t="n"/>
      <c r="C22" s="5" t="n"/>
      <c r="D22" s="5" t="n"/>
      <c r="E22" s="5" t="n"/>
      <c r="F22" s="5" t="n"/>
    </row>
    <row r="23">
      <c r="A23" s="2" t="inlineStr">
        <is>
          <t>Год 0: создание</t>
        </is>
      </c>
      <c r="B23" s="2" t="inlineStr">
        <is>
          <t>₽</t>
        </is>
      </c>
      <c r="C23" s="2" t="inlineStr">
        <is>
          <t>−затраты на создание</t>
        </is>
      </c>
      <c r="D23" s="6">
        <f>-D8</f>
        <v>-500000.0</v>
      </c>
      <c r="E23" s="6">
        <f>-E8</f>
        <v>-500000.0</v>
      </c>
      <c r="F23" s="6">
        <f>-F8</f>
        <v>-500000.0</v>
      </c>
    </row>
    <row r="24">
      <c r="A24" s="2" t="inlineStr">
        <is>
          <t>Год 1</t>
        </is>
      </c>
      <c r="B24" s="2" t="inlineStr">
        <is>
          <t>₽</t>
        </is>
      </c>
      <c r="C24" s="2" t="inlineStr">
        <is>
          <t>эффект × доля освоения − эксплуатация</t>
        </is>
      </c>
      <c r="D24" s="6">
        <f>D20*Допущения!D7-D13</f>
        <v>37194178.08219179</v>
      </c>
      <c r="E24" s="6">
        <f>E20*Допущения!E7-E13</f>
        <v>111719178.08219178</v>
      </c>
      <c r="F24" s="6">
        <f>F20*Допущения!F7-F13</f>
        <v>566813424.6575342</v>
      </c>
    </row>
    <row r="25">
      <c r="A25" s="2" t="inlineStr">
        <is>
          <t>Год 2</t>
        </is>
      </c>
      <c r="B25" s="2" t="inlineStr">
        <is>
          <t>₽</t>
        </is>
      </c>
      <c r="C25" s="2" t="inlineStr">
        <is>
          <t>эффект − эксплуатация</t>
        </is>
      </c>
      <c r="D25" s="6">
        <f>D21</f>
        <v>97485445.20547946</v>
      </c>
      <c r="E25" s="6">
        <f>E21</f>
        <v>226438356.16438356</v>
      </c>
      <c r="F25" s="6">
        <f>F21</f>
        <v>811019178.0821918</v>
      </c>
    </row>
    <row r="26">
      <c r="A26" s="2" t="inlineStr">
        <is>
          <t>Год 3</t>
        </is>
      </c>
      <c r="B26" s="2" t="inlineStr">
        <is>
          <t>₽</t>
        </is>
      </c>
      <c r="C26" s="2" t="inlineStr">
        <is>
          <t>эффект − эксплуатация</t>
        </is>
      </c>
      <c r="D26" s="6">
        <f>D21</f>
        <v>97485445.20547946</v>
      </c>
      <c r="E26" s="6">
        <f>E21</f>
        <v>226438356.16438356</v>
      </c>
      <c r="F26" s="6">
        <f>F21</f>
        <v>811019178.0821918</v>
      </c>
    </row>
    <row r="27">
      <c r="A27" s="4" t="inlineStr">
        <is>
          <t>Показатели эффективности (3 года)</t>
        </is>
      </c>
      <c r="B27" s="5" t="n"/>
      <c r="C27" s="5" t="n"/>
      <c r="D27" s="5" t="n"/>
      <c r="E27" s="5" t="n"/>
      <c r="F27" s="5" t="n"/>
    </row>
    <row r="28">
      <c r="A28" s="7" t="inlineStr">
        <is>
          <t>Накопленный чистый эффект за 3 года</t>
        </is>
      </c>
      <c r="B28" s="2" t="inlineStr">
        <is>
          <t>₽</t>
        </is>
      </c>
      <c r="C28" s="2" t="inlineStr">
        <is>
          <t>сумма потоков 0–3</t>
        </is>
      </c>
      <c r="D28" s="8">
        <f>SUM(D23:D26)</f>
        <v>231665068.4931507</v>
      </c>
      <c r="E28" s="8">
        <f>SUM(E23:E26)</f>
        <v>564095890.4109589</v>
      </c>
      <c r="F28" s="8">
        <f>SUM(F23:F26)</f>
        <v>2188351780.821918</v>
      </c>
    </row>
    <row r="29">
      <c r="A29" s="7" t="inlineStr">
        <is>
          <t>NPV</t>
        </is>
      </c>
      <c r="B29" s="2" t="inlineStr">
        <is>
          <t>₽</t>
        </is>
      </c>
      <c r="C29" s="2" t="inlineStr">
        <is>
          <t>потоки, дисконтированные по ставке</t>
        </is>
      </c>
      <c r="D29" s="8">
        <f>D23+D24/(1+Допущения!D8)+D25/(1+Допущения!D8)^2+D26/(1+Допущения!D8)^3</f>
        <v>154608562.43658045</v>
      </c>
      <c r="E29" s="8">
        <f>E23+E24/(1+Допущения!E8)+E25/(1+Допущения!E8)^2+E26/(1+Допущения!E8)^3</f>
        <v>409159692.47308326</v>
      </c>
      <c r="F29" s="8">
        <f>F23+F24/(1+Допущения!F8)+F25/(1+Допущения!F8)^2+F26/(1+Допущения!F8)^3</f>
        <v>1668172525.271488</v>
      </c>
    </row>
    <row r="30">
      <c r="A30" s="7" t="inlineStr">
        <is>
          <t>ROI за 3 года</t>
        </is>
      </c>
      <c r="B30" s="2" t="inlineStr">
        <is>
          <t>%</t>
        </is>
      </c>
      <c r="C30" s="2" t="inlineStr">
        <is>
          <t>накопленный эффект / затраты на создание</t>
        </is>
      </c>
      <c r="D30" s="10">
        <f>IF(D8=0,0,D28/D8)</f>
        <v>463.3301369863014</v>
      </c>
      <c r="E30" s="10">
        <f>IF(E8=0,0,E28/E8)</f>
        <v>1128.1917808219177</v>
      </c>
      <c r="F30" s="10">
        <f>IF(F8=0,0,F28/F8)</f>
        <v>4376.703561643836</v>
      </c>
    </row>
    <row r="31">
      <c r="A31" s="7" t="inlineStr">
        <is>
          <t>Срок окупаемости</t>
        </is>
      </c>
      <c r="B31" s="2" t="inlineStr">
        <is>
          <t>мес.</t>
        </is>
      </c>
      <c r="C31" s="2" t="inlineStr">
        <is>
          <t>по накопленному потоку; &gt;36 — не окупается за горизонт</t>
        </is>
      </c>
      <c r="D31" s="11">
        <f>IF(D24&gt;=D8,D8/D24*12,IF(D24+D25&gt;=D8,12+(D8-D24)/D25*12,IF(D24+D25+D26&gt;=D8,24+(D8-D24-D25)/D26*12,"&gt;36")))</f>
        <v>0.16131556897805846</v>
      </c>
      <c r="E31" s="11">
        <f>IF(E24&gt;=E8,E8/E24*12,IF(E24+E25&gt;=E8,12+(E8-E24)/E25*12,IF(E24+E25+E26&gt;=E8,24+(E8-E24-E25)/E26*12,"&gt;36")))</f>
        <v>0.05370608791613023</v>
      </c>
      <c r="F31" s="11">
        <f>IF(F24&gt;=F8,F8/F24*12,IF(F24+F25&gt;=F8,12+(F8-F24)/F25*12,IF(F24+F25+F26&gt;=F8,24+(F8-F24-F25)/F26*12,"&gt;36")))</f>
        <v>0.01058549381328639</v>
      </c>
    </row>
    <row r="32">
      <c r="A32" s="2" t="inlineStr">
        <is>
          <t>Доля эффекта A (ФОТ ручного учёта)</t>
        </is>
      </c>
      <c r="B32" s="2" t="inlineStr">
        <is>
          <t>%</t>
        </is>
      </c>
      <c r="C32" s="2" t="inlineStr">
        <is>
          <t>A / итого эффект</t>
        </is>
      </c>
      <c r="D32" s="12">
        <f>IF(D20=0,0,D16/D20)</f>
        <v>0.5971013998824202</v>
      </c>
      <c r="E32" s="12">
        <f>IF(E20=0,0,E16/E20)</f>
        <v>0.261508149740283</v>
      </c>
      <c r="F32" s="12">
        <f>IF(F20=0,0,F16/F20)</f>
        <v>0.07370833711972052</v>
      </c>
    </row>
    <row r="33">
      <c r="A33" s="4" t="inlineStr">
        <is>
          <t>Безубыточность: сколько простоя нужно предотвратить</t>
        </is>
      </c>
      <c r="B33" s="5" t="n"/>
      <c r="C33" s="5" t="n"/>
      <c r="D33" s="5" t="n"/>
      <c r="E33" s="5" t="n"/>
      <c r="F33" s="5" t="n"/>
    </row>
    <row r="34">
      <c r="A34" s="2" t="inlineStr">
        <is>
          <t>Дней простоя в год, предотвращённых в сценарии</t>
        </is>
      </c>
      <c r="B34" s="2" t="inlineStr">
        <is>
          <t>дн./год</t>
        </is>
      </c>
      <c r="C34" s="2" t="inlineStr">
        <is>
          <t>объекты × срывы × дни × доля</t>
        </is>
      </c>
      <c r="D34" s="13">
        <f>Допущения!D22*Допущения!D23*Допущения!D24*Допущения!D26</f>
        <v>5.0</v>
      </c>
      <c r="E34" s="13">
        <f>Допущения!E22*Допущения!E23*Допущения!E24*Допущения!E26</f>
        <v>20.0</v>
      </c>
      <c r="F34" s="13">
        <f>Допущения!F22*Допущения!F23*Допущения!F24*Допущения!F26</f>
        <v>90.0</v>
      </c>
    </row>
    <row r="35">
      <c r="A35" s="2" t="inlineStr">
        <is>
          <t>Окупить эксплуатацию (без эффекта A, C, D)</t>
        </is>
      </c>
      <c r="B35" s="2" t="inlineStr">
        <is>
          <t>дн./год</t>
        </is>
      </c>
      <c r="C35" s="2" t="inlineStr">
        <is>
          <t>эксплуатация / цена дня простоя</t>
        </is>
      </c>
      <c r="D35" s="13">
        <f>D13/Допущения!D25</f>
        <v>0.42857142857142855</v>
      </c>
      <c r="E35" s="13">
        <f>E13/Допущения!E25</f>
        <v>0.42857142857142855</v>
      </c>
      <c r="F35" s="13">
        <f>F13/Допущения!F25</f>
        <v>0.42857142857142855</v>
      </c>
    </row>
    <row r="36">
      <c r="A36" s="2" t="inlineStr">
        <is>
          <t>Окупить создание</t>
        </is>
      </c>
      <c r="B36" s="2" t="inlineStr">
        <is>
          <t>дн.</t>
        </is>
      </c>
      <c r="C36" s="2" t="inlineStr">
        <is>
          <t>затраты на создание / цена дня простоя</t>
        </is>
      </c>
      <c r="D36" s="13">
        <f>D8/Допущения!D25</f>
        <v>0.07142857142857142</v>
      </c>
      <c r="E36" s="13">
        <f>E8/Допущения!E25</f>
        <v>0.07142857142857142</v>
      </c>
      <c r="F36" s="13">
        <f>F8/Допущения!F25</f>
        <v>0.07142857142857142</v>
      </c>
    </row>
    <row r="38" ht="48" customHeight="1">
      <c r="A38" s="14" t="inlineStr">
        <is>
          <t>A — ФОТ ставок, которые пришлось бы посадить на ручной учёт и отчёты без сервиса (альтернатива: Excel/почта). B, C, D — вероятностные: зависят от доли предотвращённых событий, которую нужно подтверждать замерами на пилотных объектах.</t>
        </is>
      </c>
    </row>
    <row r="39" ht="48" customHeight="1">
      <c r="A39" s="14" t="inlineStr">
        <is>
          <t>При цене дня простоя 7 млн ₽ главный аргумент — безубыточность: блок внизу показывает, сколько дней простоя в год достаточно предотвратить, чтобы окупить создание и эксплуатацию.</t>
        </is>
      </c>
    </row>
    <row r="40" ht="48" customHeight="1">
      <c r="A40" s="14" t="inlineStr">
        <is>
          <t>Эффект масштабируется числом объектов (A, B, C): сегодня модель изделий загружена на 2 объекта из 110 активных, поэтому расчёт принимает 100 объектов по решению автора.</t>
        </is>
      </c>
    </row>
    <row r="41" ht="48" customHeight="1">
      <c r="A41" s="14" t="inlineStr">
        <is>
          <t>Затраты на создание — условный ФОТ 500 тыс. ₽ (оценка автора: работа велась вечерами без доплаты; история git — 74 дня — приведена справочно).</t>
        </is>
      </c>
    </row>
  </sheetData>
  <mergeCells count="4">
    <mergeCell ref="A38:F38"/>
    <mergeCell ref="A39:F39"/>
    <mergeCell ref="A40:F40"/>
    <mergeCell ref="A41:F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11" customWidth="1" min="3" max="3"/>
    <col width="14" customWidth="1" min="4" max="4"/>
    <col width="14" customWidth="1" min="5" max="5"/>
    <col width="14" customWidth="1" min="6" max="6"/>
    <col width="70" customWidth="1" min="7" max="7"/>
  </cols>
  <sheetData>
    <row r="1">
      <c r="A1" s="1" t="inlineStr">
        <is>
          <t>Допущения к расчёту экономического эффекта ЖБИ-трекера</t>
        </is>
      </c>
    </row>
    <row r="2" ht="48" customHeight="1">
      <c r="A2" s="14" t="inlineStr">
        <is>
          <t>Как пользоваться: жёлтые ячейки — ГИПОТЕЗЫ «на глаз», их нужно заменить вашими цифрами (тогда расчёт станет обоснованным). Синий текст без заливки — факт из проекта (источник в комментарии). Три столбца — сценарии: консервативный (эффект меньше, затраты больше), базовый, оптимистичный.</t>
        </is>
      </c>
    </row>
    <row r="4">
      <c r="A4" s="3" t="inlineStr">
        <is>
          <t>Параметр</t>
        </is>
      </c>
      <c r="B4" s="3" t="inlineStr">
        <is>
          <t>Ед.</t>
        </is>
      </c>
      <c r="C4" s="3" t="inlineStr">
        <is>
          <t>Тип</t>
        </is>
      </c>
      <c r="D4" s="3" t="inlineStr">
        <is>
          <t>Консерват.</t>
        </is>
      </c>
      <c r="E4" s="3" t="inlineStr">
        <is>
          <t>База</t>
        </is>
      </c>
      <c r="F4" s="3" t="inlineStr">
        <is>
          <t>Оптимист.</t>
        </is>
      </c>
      <c r="G4" s="3" t="inlineStr">
        <is>
          <t>Источник / комментарий</t>
        </is>
      </c>
    </row>
    <row r="5">
      <c r="A5" s="4" t="inlineStr">
        <is>
          <t>0. Общие</t>
        </is>
      </c>
      <c r="B5" s="5" t="n"/>
      <c r="C5" s="5" t="n"/>
      <c r="D5" s="5" t="n"/>
      <c r="E5" s="5" t="n"/>
      <c r="F5" s="5" t="n"/>
      <c r="G5" s="5" t="n"/>
    </row>
    <row r="6">
      <c r="A6" s="2" t="inlineStr">
        <is>
          <t>Горизонт расчёта</t>
        </is>
      </c>
      <c r="B6" s="2" t="inlineStr">
        <is>
          <t>лет</t>
        </is>
      </c>
      <c r="C6" s="2" t="inlineStr">
        <is>
          <t>факт</t>
        </is>
      </c>
      <c r="D6" s="15" t="n">
        <v>3</v>
      </c>
      <c r="E6" s="15" t="n">
        <v>3</v>
      </c>
      <c r="F6" s="15" t="n">
        <v>3</v>
      </c>
      <c r="G6" s="14" t="inlineStr">
        <is>
          <t>Условность: 3 года эксплуатации после создания</t>
        </is>
      </c>
    </row>
    <row r="7">
      <c r="A7" s="2" t="inlineStr">
        <is>
          <t>Доля эффекта в 1-й год (освоение)</t>
        </is>
      </c>
      <c r="B7" s="2" t="inlineStr">
        <is>
          <t>%</t>
        </is>
      </c>
      <c r="C7" s="2" t="inlineStr">
        <is>
          <t>гипотеза</t>
        </is>
      </c>
      <c r="D7" s="16" t="n">
        <v>0.4</v>
      </c>
      <c r="E7" s="16" t="n">
        <v>0.5</v>
      </c>
      <c r="F7" s="16" t="n">
        <v>0.7</v>
      </c>
      <c r="G7" s="14" t="inlineStr">
        <is>
          <t>Пользователи осваивают сервис постепенно; со 2-го года — 100%</t>
        </is>
      </c>
    </row>
    <row r="8">
      <c r="A8" s="2" t="inlineStr">
        <is>
          <t>Ставка дисконтирования</t>
        </is>
      </c>
      <c r="B8" s="2" t="inlineStr">
        <is>
          <t>%</t>
        </is>
      </c>
      <c r="C8" s="2" t="inlineStr">
        <is>
          <t>гипотеза</t>
        </is>
      </c>
      <c r="D8" s="16" t="n">
        <v>0.2</v>
      </c>
      <c r="E8" s="16" t="n">
        <v>0.16</v>
      </c>
      <c r="F8" s="16" t="n">
        <v>0.14</v>
      </c>
      <c r="G8" s="14" t="inlineStr">
        <is>
          <t>Стоимость денег в компании; заменить на корпоративную</t>
        </is>
      </c>
    </row>
    <row r="9">
      <c r="A9" s="2" t="inlineStr">
        <is>
          <t>Стоимость финансирования (кредитная ставка)</t>
        </is>
      </c>
      <c r="B9" s="2" t="inlineStr">
        <is>
          <t>%/год</t>
        </is>
      </c>
      <c r="C9" s="2" t="inlineStr">
        <is>
          <t>гипотеза</t>
        </is>
      </c>
      <c r="D9" s="16" t="n">
        <v>0.14</v>
      </c>
      <c r="E9" s="16" t="n">
        <v>0.16</v>
      </c>
      <c r="F9" s="16" t="n">
        <v>0.18</v>
      </c>
      <c r="G9" s="14" t="inlineStr">
        <is>
          <t>Нужна для эффекта «деньги и сроки»</t>
        </is>
      </c>
    </row>
    <row r="10">
      <c r="A10" s="4" t="inlineStr">
        <is>
          <t>1. Затраты на создание (разовые)</t>
        </is>
      </c>
      <c r="B10" s="5" t="n"/>
      <c r="C10" s="5" t="n"/>
      <c r="D10" s="5" t="n"/>
      <c r="E10" s="5" t="n"/>
      <c r="F10" s="5" t="n"/>
      <c r="G10" s="5" t="n"/>
    </row>
    <row r="11">
      <c r="A11" s="2" t="inlineStr">
        <is>
          <t>Справочно: активных дней разработки</t>
        </is>
      </c>
      <c r="B11" s="2" t="inlineStr">
        <is>
          <t>дн.</t>
        </is>
      </c>
      <c r="C11" s="2" t="inlineStr">
        <is>
          <t>факт</t>
        </is>
      </c>
      <c r="D11" s="15" t="n">
        <v>74</v>
      </c>
      <c r="E11" s="15" t="n">
        <v>74</v>
      </c>
      <c r="F11" s="15" t="n">
        <v>74</v>
      </c>
      <c r="G11" s="14" t="inlineStr">
        <is>
          <t>git: 74 дня с коммитами, 16.07–23.10.2026 (1236 коммитов, ~303 тыс. строк кода, ~49 тыс. строк документации); в расчёт не входит — работа велась вечерами и в свободное время</t>
        </is>
      </c>
    </row>
    <row r="12">
      <c r="A12" s="2" t="inlineStr">
        <is>
          <t>ФОТ на создание сервиса</t>
        </is>
      </c>
      <c r="B12" s="2" t="inlineStr">
        <is>
          <t>₽</t>
        </is>
      </c>
      <c r="C12" s="2" t="inlineStr">
        <is>
          <t>факт</t>
        </is>
      </c>
      <c r="D12" s="17" t="n">
        <v>500000</v>
      </c>
      <c r="E12" s="17" t="n">
        <v>500000</v>
      </c>
      <c r="F12" s="17" t="n">
        <v>500000</v>
      </c>
      <c r="G12" s="14" t="inlineStr">
        <is>
          <t>Оценка автора: работа без доплаты, условно 500 000 ₽</t>
        </is>
      </c>
    </row>
    <row r="13">
      <c r="A13" s="2" t="inlineStr">
        <is>
          <t>Прочие разовые затраты (железо, лицензии, внедрение)</t>
        </is>
      </c>
      <c r="B13" s="2" t="inlineStr">
        <is>
          <t>₽</t>
        </is>
      </c>
      <c r="C13" s="2" t="inlineStr">
        <is>
          <t>гипотеза</t>
        </is>
      </c>
      <c r="D13" s="18" t="n">
        <v>0</v>
      </c>
      <c r="E13" s="18" t="n">
        <v>0</v>
      </c>
      <c r="F13" s="18" t="n">
        <v>0</v>
      </c>
      <c r="G13" s="14" t="inlineStr">
        <is>
          <t>Принято 0: используется существующая инфраструктура; если закупалось — внести</t>
        </is>
      </c>
    </row>
    <row r="14">
      <c r="A14" s="4" t="inlineStr">
        <is>
          <t>2. Затраты на эксплуатацию (в год)</t>
        </is>
      </c>
      <c r="B14" s="5" t="n"/>
      <c r="C14" s="5" t="n"/>
      <c r="D14" s="5" t="n"/>
      <c r="E14" s="5" t="n"/>
      <c r="F14" s="5" t="n"/>
      <c r="G14" s="5" t="n"/>
    </row>
    <row r="15">
      <c r="A15" s="2" t="inlineStr">
        <is>
          <t>ФОТ сопровождения и развития</t>
        </is>
      </c>
      <c r="B15" s="2" t="inlineStr">
        <is>
          <t>₽/год</t>
        </is>
      </c>
      <c r="C15" s="2" t="inlineStr">
        <is>
          <t>факт</t>
        </is>
      </c>
      <c r="D15" s="17" t="n">
        <v>1500000</v>
      </c>
      <c r="E15" s="17" t="n">
        <v>1500000</v>
      </c>
      <c r="F15" s="17" t="n">
        <v>1500000</v>
      </c>
      <c r="G15" s="14" t="inlineStr">
        <is>
          <t>Решение автора: эксплуатация на 100 объектах 3 млн ₽/год в сумме; разбивка по статьям — оценка</t>
        </is>
      </c>
    </row>
    <row r="16">
      <c r="A16" s="2" t="inlineStr">
        <is>
          <t>Серверы и инфраструктура</t>
        </is>
      </c>
      <c r="B16" s="2" t="inlineStr">
        <is>
          <t>₽/год</t>
        </is>
      </c>
      <c r="C16" s="2" t="inlineStr">
        <is>
          <t>факт</t>
        </is>
      </c>
      <c r="D16" s="17" t="n">
        <v>800000</v>
      </c>
      <c r="E16" s="17" t="n">
        <v>800000</v>
      </c>
      <c r="F16" s="17" t="n">
        <v>800000</v>
      </c>
      <c r="G16" s="14" t="inlineStr">
        <is>
          <t>Часть общих 3 млн ₽/год; разбивка по статьям — оценка</t>
        </is>
      </c>
    </row>
    <row r="17">
      <c r="A17" s="2" t="inlineStr">
        <is>
          <t>ИИ-помощник и облачные модели</t>
        </is>
      </c>
      <c r="B17" s="2" t="inlineStr">
        <is>
          <t>₽/год</t>
        </is>
      </c>
      <c r="C17" s="2" t="inlineStr">
        <is>
          <t>факт</t>
        </is>
      </c>
      <c r="D17" s="17" t="n">
        <v>700000</v>
      </c>
      <c r="E17" s="17" t="n">
        <v>700000</v>
      </c>
      <c r="F17" s="17" t="n">
        <v>700000</v>
      </c>
      <c r="G17" s="14" t="inlineStr">
        <is>
          <t>Часть общих 3 млн ₽/год; расход по журналу — app/rmr_*</t>
        </is>
      </c>
    </row>
    <row r="18">
      <c r="A18" s="4" t="inlineStr">
        <is>
          <t>3. Эффект: людей не нужно сажать на ручной учёт</t>
        </is>
      </c>
      <c r="B18" s="5" t="n"/>
      <c r="C18" s="5" t="n"/>
      <c r="D18" s="5" t="n"/>
      <c r="E18" s="5" t="n"/>
      <c r="F18" s="5" t="n"/>
      <c r="G18" s="5" t="n"/>
    </row>
    <row r="19">
      <c r="A19" s="2" t="inlineStr">
        <is>
          <t>Объектов на одного человека ручного учёта</t>
        </is>
      </c>
      <c r="B19" s="2" t="inlineStr">
        <is>
          <t>объектов</t>
        </is>
      </c>
      <c r="C19" s="2" t="inlineStr">
        <is>
          <t>факт</t>
        </is>
      </c>
      <c r="D19" s="15" t="n">
        <v>3</v>
      </c>
      <c r="E19" s="15" t="n">
        <v>3</v>
      </c>
      <c r="F19" s="15" t="n">
        <v>3</v>
      </c>
      <c r="G19" s="14" t="inlineStr">
        <is>
          <t>Решение автора: один человек на 3 объекта (статусы поставки, численность, отчёты, привязка изделий)</t>
        </is>
      </c>
    </row>
    <row r="20">
      <c r="A20" s="2" t="inlineStr">
        <is>
          <t>ФОТ одного человека с налогами и накладными</t>
        </is>
      </c>
      <c r="B20" s="2" t="inlineStr">
        <is>
          <t>₽/год</t>
        </is>
      </c>
      <c r="C20" s="2" t="inlineStr">
        <is>
          <t>гипотеза</t>
        </is>
      </c>
      <c r="D20" s="18" t="n">
        <v>1800000</v>
      </c>
      <c r="E20" s="18" t="n">
        <v>1800000</v>
      </c>
      <c r="F20" s="18" t="n">
        <v>1800000</v>
      </c>
      <c r="G20" s="14" t="inlineStr">
        <is>
          <t>≈150 тыс. ₽/мес.; заменить окладом вашей компании</t>
        </is>
      </c>
    </row>
    <row r="21">
      <c r="A21" s="4" t="inlineStr">
        <is>
          <t>4. Эффект: сокращение простоев и срывов поставки</t>
        </is>
      </c>
      <c r="B21" s="5" t="n"/>
      <c r="C21" s="5" t="n"/>
      <c r="D21" s="5" t="n"/>
      <c r="E21" s="5" t="n"/>
      <c r="F21" s="5" t="n"/>
      <c r="G21" s="5" t="n"/>
    </row>
    <row r="22">
      <c r="A22" s="2" t="inlineStr">
        <is>
          <t>Объектов, где сервис ведёт учёт</t>
        </is>
      </c>
      <c r="B22" s="2" t="inlineStr">
        <is>
          <t>шт.</t>
        </is>
      </c>
      <c r="C22" s="2" t="inlineStr">
        <is>
          <t>факт</t>
        </is>
      </c>
      <c r="D22" s="15" t="n">
        <v>100</v>
      </c>
      <c r="E22" s="15" t="n">
        <v>100</v>
      </c>
      <c r="F22" s="15" t="n">
        <v>100</v>
      </c>
      <c r="G22" s="14" t="inlineStr">
        <is>
          <t>Решение автора: 100 объектов. Сегодня модель изделий загружена на 2 из 110 активных ЖБИ-объектов; эффект масштабируется числом объектов</t>
        </is>
      </c>
    </row>
    <row r="23">
      <c r="A23" s="2" t="inlineStr">
        <is>
          <t>Срывов поставки на объект в год</t>
        </is>
      </c>
      <c r="B23" s="2" t="inlineStr">
        <is>
          <t>шт.</t>
        </is>
      </c>
      <c r="C23" s="2" t="inlineStr">
        <is>
          <t>гипотеза</t>
        </is>
      </c>
      <c r="D23" s="19" t="n">
        <v>1</v>
      </c>
      <c r="E23" s="19" t="n">
        <v>2</v>
      </c>
      <c r="F23" s="19" t="n">
        <v>3</v>
      </c>
      <c r="G23" s="14" t="inlineStr">
        <is>
          <t>По вашей статистике; без сервиса</t>
        </is>
      </c>
    </row>
    <row r="24">
      <c r="A24" s="2" t="inlineStr">
        <is>
          <t>Дней простоя на один срыв</t>
        </is>
      </c>
      <c r="B24" s="2" t="inlineStr">
        <is>
          <t>дн.</t>
        </is>
      </c>
      <c r="C24" s="2" t="inlineStr">
        <is>
          <t>гипотеза</t>
        </is>
      </c>
      <c r="D24" s="19" t="n">
        <v>1</v>
      </c>
      <c r="E24" s="19" t="n">
        <v>1</v>
      </c>
      <c r="F24" s="19" t="n">
        <v>2</v>
      </c>
      <c r="G24" s="14" t="inlineStr"/>
    </row>
    <row r="25">
      <c r="A25" s="2" t="inlineStr">
        <is>
          <t>Стоимость дня простоя площадки на объекте</t>
        </is>
      </c>
      <c r="B25" s="2" t="inlineStr">
        <is>
          <t>₽/дн.</t>
        </is>
      </c>
      <c r="C25" s="2" t="inlineStr">
        <is>
          <t>факт</t>
        </is>
      </c>
      <c r="D25" s="17" t="n">
        <v>7000000</v>
      </c>
      <c r="E25" s="17" t="n">
        <v>7000000</v>
      </c>
      <c r="F25" s="17" t="n">
        <v>7000000</v>
      </c>
      <c r="G25" s="14" t="inlineStr">
        <is>
          <t>Оценка автора: ≈7 млн ₽ за день (поставка не вовремя или не в нужном порядке)</t>
        </is>
      </c>
    </row>
    <row r="26">
      <c r="A26" s="2" t="inlineStr">
        <is>
          <t>Доля срывов, предотвращённых ранним видением</t>
        </is>
      </c>
      <c r="B26" s="2" t="inlineStr">
        <is>
          <t>%</t>
        </is>
      </c>
      <c r="C26" s="2" t="inlineStr">
        <is>
          <t>гипотеза</t>
        </is>
      </c>
      <c r="D26" s="16" t="n">
        <v>0.05</v>
      </c>
      <c r="E26" s="16" t="n">
        <v>0.1</v>
      </c>
      <c r="F26" s="16" t="n">
        <v>0.15</v>
      </c>
      <c r="G26" s="14" t="inlineStr">
        <is>
          <t>Аналитическая справка, комплектация под прогноз СМР</t>
        </is>
      </c>
    </row>
    <row r="27">
      <c r="A27" s="4" t="inlineStr">
        <is>
          <t>5. Эффект: меньше ошибок и переделок</t>
        </is>
      </c>
      <c r="B27" s="5" t="n"/>
      <c r="C27" s="5" t="n"/>
      <c r="D27" s="5" t="n"/>
      <c r="E27" s="5" t="n"/>
      <c r="F27" s="5" t="n"/>
      <c r="G27" s="5" t="n"/>
    </row>
    <row r="28">
      <c r="A28" s="2" t="inlineStr">
        <is>
          <t>Изделий на объект в год</t>
        </is>
      </c>
      <c r="B28" s="2" t="inlineStr">
        <is>
          <t>шт.</t>
        </is>
      </c>
      <c r="C28" s="2" t="inlineStr">
        <is>
          <t>факт</t>
        </is>
      </c>
      <c r="D28" s="20" t="n">
        <v>7250</v>
      </c>
      <c r="E28" s="20" t="n">
        <v>7250</v>
      </c>
      <c r="F28" s="20" t="n">
        <v>7250</v>
      </c>
      <c r="G28" s="14" t="inlineStr">
        <is>
          <t>Факт: 14 507 изделий на 2 загруженных объектах ≈ 7 250 на объект</t>
        </is>
      </c>
    </row>
    <row r="29">
      <c r="A29" s="2" t="inlineStr">
        <is>
          <t>Доля изделий с ошибкой учёта/привязки (без сервиса)</t>
        </is>
      </c>
      <c r="B29" s="2" t="inlineStr">
        <is>
          <t>%</t>
        </is>
      </c>
      <c r="C29" s="2" t="inlineStr">
        <is>
          <t>гипотеза</t>
        </is>
      </c>
      <c r="D29" s="16" t="n">
        <v>0.005</v>
      </c>
      <c r="E29" s="16" t="n">
        <v>0.01</v>
      </c>
      <c r="F29" s="16" t="n">
        <v>0.02</v>
      </c>
      <c r="G29" s="14" t="inlineStr">
        <is>
          <t>Неверная марка, адрес по осям, зона крана, двойной учёт</t>
        </is>
      </c>
    </row>
    <row r="30">
      <c r="A30" s="2" t="inlineStr">
        <is>
          <t>Стоимость исправления одной ошибки</t>
        </is>
      </c>
      <c r="B30" s="2" t="inlineStr">
        <is>
          <t>₽</t>
        </is>
      </c>
      <c r="C30" s="2" t="inlineStr">
        <is>
          <t>гипотеза</t>
        </is>
      </c>
      <c r="D30" s="18" t="n">
        <v>5000</v>
      </c>
      <c r="E30" s="18" t="n">
        <v>8000</v>
      </c>
      <c r="F30" s="18" t="n">
        <v>12000</v>
      </c>
      <c r="G30" s="14" t="inlineStr">
        <is>
          <t>Перевозка/простой/пересогласование</t>
        </is>
      </c>
    </row>
    <row r="31">
      <c r="A31" s="2" t="inlineStr">
        <is>
          <t>Доля ошибок, устраняемых сервисом</t>
        </is>
      </c>
      <c r="B31" s="2" t="inlineStr">
        <is>
          <t>%</t>
        </is>
      </c>
      <c r="C31" s="2" t="inlineStr">
        <is>
          <t>гипотеза</t>
        </is>
      </c>
      <c r="D31" s="16" t="n">
        <v>0.3</v>
      </c>
      <c r="E31" s="16" t="n">
        <v>0.5</v>
      </c>
      <c r="F31" s="16" t="n">
        <v>0.7</v>
      </c>
      <c r="G31" s="14" t="inlineStr">
        <is>
          <t>Привязка по DXF, проверки при загрузке, журнал</t>
        </is>
      </c>
    </row>
    <row r="32">
      <c r="A32" s="4" t="inlineStr">
        <is>
          <t>6. Эффект: контроль денег и сроков (ПП в деньгах)</t>
        </is>
      </c>
      <c r="B32" s="5" t="n"/>
      <c r="C32" s="5" t="n"/>
      <c r="D32" s="5" t="n"/>
      <c r="E32" s="5" t="n"/>
      <c r="F32" s="5" t="n"/>
      <c r="G32" s="5" t="n"/>
    </row>
    <row r="33">
      <c r="A33" s="2" t="inlineStr">
        <is>
          <t>Годовой объём СМР под контролем ПП</t>
        </is>
      </c>
      <c r="B33" s="2" t="inlineStr">
        <is>
          <t>₽/год</t>
        </is>
      </c>
      <c r="C33" s="2" t="inlineStr">
        <is>
          <t>гипотеза</t>
        </is>
      </c>
      <c r="D33" s="18" t="n">
        <v>500000000</v>
      </c>
      <c r="E33" s="18" t="n">
        <v>1000000000</v>
      </c>
      <c r="F33" s="18" t="n">
        <v>2000000000</v>
      </c>
      <c r="G33" s="14" t="inlineStr">
        <is>
          <t>Остаток денег по объектам из ПП; заменить цифрой из программы</t>
        </is>
      </c>
    </row>
    <row r="34">
      <c r="A34" s="2" t="inlineStr">
        <is>
          <t>Доля объёма, где сдвиг сроков выявляется раньше</t>
        </is>
      </c>
      <c r="B34" s="2" t="inlineStr">
        <is>
          <t>%</t>
        </is>
      </c>
      <c r="C34" s="2" t="inlineStr">
        <is>
          <t>гипотеза</t>
        </is>
      </c>
      <c r="D34" s="16" t="n">
        <v>0.05</v>
      </c>
      <c r="E34" s="16" t="n">
        <v>0.1</v>
      </c>
      <c r="F34" s="16" t="n">
        <v>0.15</v>
      </c>
      <c r="G34" s="14" t="inlineStr"/>
    </row>
    <row r="35">
      <c r="A35" s="2" t="inlineStr">
        <is>
          <t>На сколько дней раньше</t>
        </is>
      </c>
      <c r="B35" s="2" t="inlineStr">
        <is>
          <t>дн.</t>
        </is>
      </c>
      <c r="C35" s="2" t="inlineStr">
        <is>
          <t>гипотеза</t>
        </is>
      </c>
      <c r="D35" s="21" t="n">
        <v>5</v>
      </c>
      <c r="E35" s="21" t="n">
        <v>10</v>
      </c>
      <c r="F35" s="21" t="n">
        <v>15</v>
      </c>
      <c r="G35" s="14" t="inlineStr">
        <is>
          <t>Эффект — стоимость финансирования этих денег</t>
        </is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2026-10-23T16:17:09Z</dcterms:created>
  <dcterms:modified xmlns:dcterms="http://purl.org/dc/terms/" xmlns:xsi="http://www.w3.org/2001/XMLSchema-instance" xsi:type="dcterms:W3CDTF">2026-10-23T16:17:09Z</dcterms:modified>
</cp:coreProperties>
</file>